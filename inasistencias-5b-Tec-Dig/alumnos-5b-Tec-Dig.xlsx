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positivos" sheetId="3" state="visible" r:id="rId5"/>
    <sheet name="1-codigos" sheetId="4" state="visible" r:id="rId6"/>
    <sheet name="2-alg.boole" sheetId="5" state="visible" r:id="rId7"/>
    <sheet name="3-compu" sheetId="6" state="visible" r:id="rId8"/>
    <sheet name="4-salidas" sheetId="7" state="visible" r:id="rId9"/>
    <sheet name="4-Recup" sheetId="8" state="visible" r:id="rId10"/>
    <sheet name="Evaluacion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<sst xmlns="http://schemas.openxmlformats.org/spreadsheetml/2006/main" count="1633" uniqueCount="345">
  <si>
    <t xml:space="preserve">total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</si>
  <si>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</si>
  <si>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</si>
  <si>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</si>
  <si>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</si>
  <si>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</si>
  <si>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competencia</t>
  </si>
  <si>
    <t xml:space="preserve">presentes</t>
  </si>
  <si>
    <t xml:space="preserve">media</t>
  </si>
  <si>
    <t xml:space="preserve">tarde</t>
  </si>
  <si>
    <t xml:space="preserve">presente</t>
  </si>
  <si>
    <t xml:space="preserve">Nota</t>
  </si>
  <si>
    <t xml:space="preserve">OBS</t>
  </si>
  <si>
    <t xml:space="preserve">Robot</t>
  </si>
  <si>
    <t xml:space="preserve">grupo Robot</t>
  </si>
  <si>
    <t xml:space="preserve">nota</t>
  </si>
  <si>
    <t xml:space="preserve">Maitena Nontue</t>
  </si>
  <si>
    <t xml:space="preserve">ALDERETE</t>
  </si>
  <si>
    <t xml:space="preserve">mariano_c20031@hotmail.com</t>
  </si>
  <si>
    <t xml:space="preserve">A</t>
  </si>
  <si>
    <t xml:space="preserve">P</t>
  </si>
  <si>
    <t xml:space="preserve">Sofia Angelica</t>
  </si>
  <si>
    <t xml:space="preserve">Alegre</t>
  </si>
  <si>
    <t xml:space="preserve">alegresofiaangelica@gmail.com</t>
  </si>
  <si>
    <t xml:space="preserve">Robot 1</t>
  </si>
  <si>
    <t xml:space="preserve">si</t>
  </si>
  <si>
    <t xml:space="preserve">Melody Berenice</t>
  </si>
  <si>
    <t xml:space="preserve">ALMARADO</t>
  </si>
  <si>
    <t xml:space="preserve">mabyvega74@gmail.com</t>
  </si>
  <si>
    <t xml:space="preserve">Robot 9</t>
  </si>
  <si>
    <t xml:space="preserve">no</t>
  </si>
  <si>
    <t xml:space="preserve">T</t>
  </si>
  <si>
    <t xml:space="preserve">Fabrizio Daniel</t>
  </si>
  <si>
    <t xml:space="preserve">ANTON</t>
  </si>
  <si>
    <t xml:space="preserve">faanton2009@gmail.com</t>
  </si>
  <si>
    <t xml:space="preserve">Robot 8</t>
  </si>
  <si>
    <t xml:space="preserve">puede ser</t>
  </si>
  <si>
    <t xml:space="preserve">M</t>
  </si>
  <si>
    <t xml:space="preserve">O</t>
  </si>
  <si>
    <t xml:space="preserve">Emiliano Yoel</t>
  </si>
  <si>
    <t xml:space="preserve">ARIAS LOTO</t>
  </si>
  <si>
    <t xml:space="preserve">lidiamax861@gmail.com</t>
  </si>
  <si>
    <t xml:space="preserve">Emilio Salvador</t>
  </si>
  <si>
    <t xml:space="preserve">BIANCO</t>
  </si>
  <si>
    <t xml:space="preserve">anamabel4020@yahoo.com.ar</t>
  </si>
  <si>
    <t xml:space="preserve">Tiziano</t>
  </si>
  <si>
    <t xml:space="preserve">Carrizo</t>
  </si>
  <si>
    <t xml:space="preserve">tizianoinac23@gmail.com</t>
  </si>
  <si>
    <t xml:space="preserve">Robot 6-7</t>
  </si>
  <si>
    <t xml:space="preserve">Alejo Nicolas</t>
  </si>
  <si>
    <t xml:space="preserve">DI CERBO</t>
  </si>
  <si>
    <t xml:space="preserve">alejodicerbo@gmail.com</t>
  </si>
  <si>
    <t xml:space="preserve">C</t>
  </si>
  <si>
    <t xml:space="preserve">olimpiadas</t>
  </si>
  <si>
    <t xml:space="preserve">Robot 5</t>
  </si>
  <si>
    <t xml:space="preserve">no sabe</t>
  </si>
  <si>
    <t xml:space="preserve">Tobías Baltazar</t>
  </si>
  <si>
    <t xml:space="preserve">FERNÁNDEZ</t>
  </si>
  <si>
    <t xml:space="preserve">nataliafsalguero@hotmail.com</t>
  </si>
  <si>
    <t xml:space="preserve">Gonzalo Agustín</t>
  </si>
  <si>
    <t xml:space="preserve">GOMEZ GONZALEZ</t>
  </si>
  <si>
    <t xml:space="preserve">SILGON71@YAHOO.COM.AR</t>
  </si>
  <si>
    <t xml:space="preserve">Robot 3 -Pelelo</t>
  </si>
  <si>
    <t xml:space="preserve">Dylan Ezequiel</t>
  </si>
  <si>
    <t xml:space="preserve">Gutiérrez</t>
  </si>
  <si>
    <t xml:space="preserve">dylangutierrez032@gmail.com</t>
  </si>
  <si>
    <t xml:space="preserve">Maximo Iván</t>
  </si>
  <si>
    <t xml:space="preserve">Linares</t>
  </si>
  <si>
    <t xml:space="preserve">maximolinares444@gmail.com</t>
  </si>
  <si>
    <t xml:space="preserve">Victoria Antonella</t>
  </si>
  <si>
    <t xml:space="preserve">MACIEL RUIZ</t>
  </si>
  <si>
    <t xml:space="preserve">vickymaciel2501@gmail.com</t>
  </si>
  <si>
    <t xml:space="preserve">Cristian Gabriel</t>
  </si>
  <si>
    <t xml:space="preserve">MARTINEZ</t>
  </si>
  <si>
    <t xml:space="preserve">martinezbrisa2019@gmail.com</t>
  </si>
  <si>
    <t xml:space="preserve">Robot 2</t>
  </si>
  <si>
    <t xml:space="preserve">Facundo Nicolas</t>
  </si>
  <si>
    <t xml:space="preserve">Martorelli</t>
  </si>
  <si>
    <t xml:space="preserve">natalia.martorelli1984@gmail.com</t>
  </si>
  <si>
    <t xml:space="preserve">Robot 4</t>
  </si>
  <si>
    <t xml:space="preserve">Juan Bautista</t>
  </si>
  <si>
    <t xml:space="preserve">Medina</t>
  </si>
  <si>
    <t xml:space="preserve">bautistamedina466@gmail.com</t>
  </si>
  <si>
    <t xml:space="preserve">Victoria Soledad</t>
  </si>
  <si>
    <t xml:space="preserve">MIGUEZ MADRID</t>
  </si>
  <si>
    <t xml:space="preserve">miguez.madrid.victoria@gmail.com</t>
  </si>
  <si>
    <t xml:space="preserve">Matias Benjamin</t>
  </si>
  <si>
    <t xml:space="preserve">Parera</t>
  </si>
  <si>
    <t xml:space="preserve">matute0201@gmail.com</t>
  </si>
  <si>
    <t xml:space="preserve">Lautaro Nicolas</t>
  </si>
  <si>
    <t xml:space="preserve">PELOZO</t>
  </si>
  <si>
    <t xml:space="preserve">ranlozo340@gmail.com</t>
  </si>
  <si>
    <t xml:space="preserve">Kevin Ezequiel</t>
  </si>
  <si>
    <t xml:space="preserve">PEREZ DE ROSAS</t>
  </si>
  <si>
    <t xml:space="preserve">kevinperezderosas5@gmail.com</t>
  </si>
  <si>
    <t xml:space="preserve">Valentin</t>
  </si>
  <si>
    <t xml:space="preserve">RÍOS PETRAY</t>
  </si>
  <si>
    <t xml:space="preserve">lucasrios1984@gmail.com</t>
  </si>
  <si>
    <t xml:space="preserve">Santiago Nahuel</t>
  </si>
  <si>
    <t xml:space="preserve">SUAREZ AGUILAR</t>
  </si>
  <si>
    <t xml:space="preserve">vanina.dolores.aguilar@hotmail.com</t>
  </si>
  <si>
    <t xml:space="preserve">Leon Agustin</t>
  </si>
  <si>
    <t xml:space="preserve">VILCHE</t>
  </si>
  <si>
    <t xml:space="preserve">leonavilche@gmail.com</t>
  </si>
  <si>
    <t xml:space="preserve">media falta</t>
  </si>
  <si>
    <t xml:space="preserve">ausentes</t>
  </si>
  <si>
    <t xml:space="preserve">Olimpiadas</t>
  </si>
  <si>
    <t xml:space="preserve">1er Cuat</t>
  </si>
  <si>
    <t xml:space="preserve">2Cuat</t>
  </si>
  <si>
    <t xml:space="preserve">Diciebre</t>
  </si>
  <si>
    <t xml:space="preserve">Diciembre</t>
  </si>
  <si>
    <t xml:space="preserve">1-codigos</t>
  </si>
  <si>
    <t xml:space="preserve">2-alg boole</t>
  </si>
  <si>
    <t xml:space="preserve">3-compu</t>
  </si>
  <si>
    <t xml:space="preserve">4-salida</t>
  </si>
  <si>
    <t xml:space="preserve">Recup</t>
  </si>
  <si>
    <t xml:space="preserve">positivos</t>
  </si>
  <si>
    <t xml:space="preserve">4 + positivos</t>
  </si>
  <si>
    <t xml:space="preserve">promedio</t>
  </si>
  <si>
    <t xml:space="preserve">Valoracion</t>
  </si>
  <si>
    <t xml:space="preserve">Evaluacion</t>
  </si>
  <si>
    <t xml:space="preserve">Asistencia</t>
  </si>
  <si>
    <t xml:space="preserve">Carpeta</t>
  </si>
  <si>
    <t xml:space="preserve">1- 7 segment</t>
  </si>
  <si>
    <t xml:space="preserve">2-salidas</t>
  </si>
  <si>
    <t xml:space="preserve">3-robot</t>
  </si>
  <si>
    <t xml:space="preserve">Asis+positivo</t>
  </si>
  <si>
    <t xml:space="preserve">final</t>
  </si>
  <si>
    <t xml:space="preserve">4-if</t>
  </si>
  <si>
    <t xml:space="preserve">5-for</t>
  </si>
  <si>
    <t xml:space="preserve">6-funciones</t>
  </si>
  <si>
    <t xml:space="preserve">7-pulsador</t>
  </si>
  <si>
    <t xml:space="preserve">9-flip-flop</t>
  </si>
  <si>
    <t xml:space="preserve">feria</t>
  </si>
  <si>
    <t xml:space="preserve">Finalizado</t>
  </si>
  <si>
    <t xml:space="preserve">Tiempo requerido</t>
  </si>
  <si>
    <t xml:space="preserve">Calificación/10,00</t>
  </si>
  <si>
    <t xml:space="preserve">segundo</t>
  </si>
  <si>
    <t xml:space="preserve">3 de abril de 2025  20:12</t>
  </si>
  <si>
    <t xml:space="preserve">4 minutos 51 segundos</t>
  </si>
  <si>
    <t xml:space="preserve">30 de marzo de 2025  10:37</t>
  </si>
  <si>
    <t xml:space="preserve">7 minutos 53 segundos</t>
  </si>
  <si>
    <t xml:space="preserve">31 de marzo de 2025  12:11</t>
  </si>
  <si>
    <t xml:space="preserve">33 minutos 53 segundos</t>
  </si>
  <si>
    <t xml:space="preserve">4 de abril de 2025  15:59</t>
  </si>
  <si>
    <t xml:space="preserve">4 días 4 horas</t>
  </si>
  <si>
    <t xml:space="preserve">30 de marzo de 2025  14:25</t>
  </si>
  <si>
    <t xml:space="preserve">14 minutos 54 segundos</t>
  </si>
  <si>
    <t xml:space="preserve">28 de marzo de 2025  17:55</t>
  </si>
  <si>
    <t xml:space="preserve">22 minutos 38 segundos</t>
  </si>
  <si>
    <t xml:space="preserve">28 de marzo de 2025  17:43</t>
  </si>
  <si>
    <t xml:space="preserve">5 minutos 55 segundos</t>
  </si>
  <si>
    <t xml:space="preserve">4 de abril de 2025  09:23</t>
  </si>
  <si>
    <t xml:space="preserve">6 días 15 horas</t>
  </si>
  <si>
    <t xml:space="preserve">3 de abril de 2025  23:29</t>
  </si>
  <si>
    <t xml:space="preserve">6 días 5 horas</t>
  </si>
  <si>
    <t xml:space="preserve">4 de abril de 2025  00:26</t>
  </si>
  <si>
    <t xml:space="preserve">28 minutos 14 segundos</t>
  </si>
  <si>
    <t xml:space="preserve">4 de abril de 2025  16:54</t>
  </si>
  <si>
    <t xml:space="preserve">8 minutos 16 segundos</t>
  </si>
  <si>
    <t xml:space="preserve">31 de marzo de 2025  15:16</t>
  </si>
  <si>
    <t xml:space="preserve">2 días 21 horas</t>
  </si>
  <si>
    <t xml:space="preserve">4 de abril de 2025  12:34</t>
  </si>
  <si>
    <t xml:space="preserve">7 minutos 27 segundos</t>
  </si>
  <si>
    <t xml:space="preserve">4 de abril de 2025  17:17</t>
  </si>
  <si>
    <t xml:space="preserve">21 minutos 58 segundos</t>
  </si>
  <si>
    <t xml:space="preserve">4 de abril de 2025  16:29</t>
  </si>
  <si>
    <t xml:space="preserve">5 minutos 38 segundos</t>
  </si>
  <si>
    <t xml:space="preserve">3 de abril de 2025  20:20</t>
  </si>
  <si>
    <t xml:space="preserve">8 minutos 5 segundos</t>
  </si>
  <si>
    <t xml:space="preserve">4 de abril de 2025  17:04</t>
  </si>
  <si>
    <t xml:space="preserve">4 de abril de 2025  17:00</t>
  </si>
  <si>
    <t xml:space="preserve">6 minutos 6 segundos</t>
  </si>
  <si>
    <t xml:space="preserve">4 de abril de 2025  17:07</t>
  </si>
  <si>
    <t xml:space="preserve">4 de abril de 2025  16:47</t>
  </si>
  <si>
    <t xml:space="preserve">1 minutos 3 segundos</t>
  </si>
  <si>
    <t xml:space="preserve">4 de abril de 2025  16:45</t>
  </si>
  <si>
    <t xml:space="preserve">15 minutos</t>
  </si>
  <si>
    <t xml:space="preserve">4 de abril de 2025  16:52</t>
  </si>
  <si>
    <t xml:space="preserve">6 minutos 11 segundos</t>
  </si>
  <si>
    <t xml:space="preserve">3 de abril de 2025  23:55</t>
  </si>
  <si>
    <t xml:space="preserve">53 minutos 12 segundos</t>
  </si>
  <si>
    <t xml:space="preserve">1 de abril de 2025  10:47</t>
  </si>
  <si>
    <t xml:space="preserve">9 minutos 38 segundos</t>
  </si>
  <si>
    <t xml:space="preserve">28 de marzo de 2025  17:14</t>
  </si>
  <si>
    <t xml:space="preserve">10 minutos 21 segundos</t>
  </si>
  <si>
    <t xml:space="preserve">28 de marzo de 2025  17:22</t>
  </si>
  <si>
    <t xml:space="preserve">15 minutos 1 segundos</t>
  </si>
  <si>
    <t xml:space="preserve">28 de marzo de 2025  17:07</t>
  </si>
  <si>
    <t xml:space="preserve">11 minutos 34 segundos</t>
  </si>
  <si>
    <t xml:space="preserve">10 minutos 25 segundos</t>
  </si>
  <si>
    <t xml:space="preserve">28 de marzo de 2025  17:02</t>
  </si>
  <si>
    <t xml:space="preserve">6 minutos 15 segundos</t>
  </si>
  <si>
    <t xml:space="preserve">28 de marzo de 2025  17:15</t>
  </si>
  <si>
    <t xml:space="preserve">11 minutos 20 segundos</t>
  </si>
  <si>
    <t xml:space="preserve">28 de marzo de 2025  17:20</t>
  </si>
  <si>
    <t xml:space="preserve">24 minutos 28 segundos</t>
  </si>
  <si>
    <t xml:space="preserve">28 de marzo de 2025  17:12</t>
  </si>
  <si>
    <t xml:space="preserve">16 minutos 36 segundos</t>
  </si>
  <si>
    <t xml:space="preserve">25 minutos 35 segundos</t>
  </si>
  <si>
    <t xml:space="preserve">28 de marzo de 2025  17:18</t>
  </si>
  <si>
    <t xml:space="preserve">7 minutos 49 segundos</t>
  </si>
  <si>
    <t xml:space="preserve">4 de abril de 2025  00:37</t>
  </si>
  <si>
    <t xml:space="preserve">9 minutos 59 segundos</t>
  </si>
  <si>
    <t xml:space="preserve">28 de marzo de 2025  17:10</t>
  </si>
  <si>
    <t xml:space="preserve">14 minutos 14 segundos</t>
  </si>
  <si>
    <t xml:space="preserve">28 de marzo de 2025  17:04</t>
  </si>
  <si>
    <t xml:space="preserve">8 minutos 46 segundos</t>
  </si>
  <si>
    <t xml:space="preserve">3 minutos 53 segundos</t>
  </si>
  <si>
    <t xml:space="preserve">28 de marzo de 2025  17:23</t>
  </si>
  <si>
    <t xml:space="preserve">19 minutos 23 segundos</t>
  </si>
  <si>
    <t xml:space="preserve">28 de marzo de 2025  17:30</t>
  </si>
  <si>
    <t xml:space="preserve">6 minutos 7 segundos</t>
  </si>
  <si>
    <t xml:space="preserve">11 minutos 10 segundos</t>
  </si>
  <si>
    <t xml:space="preserve">28 de marzo de 2025  17:13</t>
  </si>
  <si>
    <t xml:space="preserve">18 minutos 44 segundos</t>
  </si>
  <si>
    <t xml:space="preserve">19 minutos 19 segundos</t>
  </si>
  <si>
    <t xml:space="preserve">18 minutos 39 segundos</t>
  </si>
  <si>
    <t xml:space="preserve">26 minutos 50 segundos</t>
  </si>
  <si>
    <t xml:space="preserve">15 minutos 14 segundos</t>
  </si>
  <si>
    <t xml:space="preserve">28 de marzo de 2025  17:28</t>
  </si>
  <si>
    <t xml:space="preserve">12 minutos 36 segundos</t>
  </si>
  <si>
    <t xml:space="preserve">2 de abril de 2025  19:23</t>
  </si>
  <si>
    <t xml:space="preserve">14 minutos 38 segundos</t>
  </si>
  <si>
    <t xml:space="preserve">25 minutos 5 segundos</t>
  </si>
  <si>
    <t xml:space="preserve">10 minutos 26 segundos</t>
  </si>
  <si>
    <t xml:space="preserve">28 de marzo de 2025  17:26</t>
  </si>
  <si>
    <t xml:space="preserve">8 minutos 56 segundos</t>
  </si>
  <si>
    <t xml:space="preserve">28 de marzo de 2025  17:35</t>
  </si>
  <si>
    <t xml:space="preserve">13 minutos 41 segundos</t>
  </si>
  <si>
    <t xml:space="preserve">28 de marzo de 2025  17:31</t>
  </si>
  <si>
    <t xml:space="preserve">14 minutos 21 segundos</t>
  </si>
  <si>
    <t xml:space="preserve">30 minutos 32 segundos</t>
  </si>
  <si>
    <t xml:space="preserve">4 de abril de 2025  00:42</t>
  </si>
  <si>
    <t xml:space="preserve">4 minutos 50 segundos</t>
  </si>
  <si>
    <t xml:space="preserve">31 de marzo de 2025  13:43</t>
  </si>
  <si>
    <t xml:space="preserve">15 minutos 41 segundos</t>
  </si>
  <si>
    <t xml:space="preserve">28 de marzo de 2025  17:37</t>
  </si>
  <si>
    <t xml:space="preserve">2 minutos 39 segundos</t>
  </si>
  <si>
    <t xml:space="preserve">28 de marzo de 2025  17:40</t>
  </si>
  <si>
    <t xml:space="preserve">2 minutos 30 segundos</t>
  </si>
  <si>
    <t xml:space="preserve">28 de marzo de 2025  17:33</t>
  </si>
  <si>
    <t xml:space="preserve">10 minutos 34 segundos</t>
  </si>
  <si>
    <t xml:space="preserve">4 de abril de 2025  12:25</t>
  </si>
  <si>
    <t xml:space="preserve">4 minutos 13 segundos</t>
  </si>
  <si>
    <t xml:space="preserve">28 de marzo de 2025  17:46</t>
  </si>
  <si>
    <t xml:space="preserve">21 minutos 34 segundos</t>
  </si>
  <si>
    <t xml:space="preserve">10 minutos 35 segundos</t>
  </si>
  <si>
    <t xml:space="preserve">6 días 23 horas</t>
  </si>
  <si>
    <t xml:space="preserve">28 de marzo de 2025  17:25</t>
  </si>
  <si>
    <t xml:space="preserve">6 minutos 23 segundos</t>
  </si>
  <si>
    <t xml:space="preserve">7 de mayo de 2025  12:48</t>
  </si>
  <si>
    <t xml:space="preserve">33 días 13 horas</t>
  </si>
  <si>
    <t xml:space="preserve">1 de abril de 2025  00:39</t>
  </si>
  <si>
    <t xml:space="preserve">3 días 7 horas</t>
  </si>
  <si>
    <t xml:space="preserve">3 de abril de 2025  23:20</t>
  </si>
  <si>
    <t xml:space="preserve">2 días 12 horas</t>
  </si>
  <si>
    <t xml:space="preserve">º</t>
  </si>
  <si>
    <t xml:space="preserve">20 de abril de 2025  23:06</t>
  </si>
  <si>
    <t xml:space="preserve">9 minutos 23 segundos</t>
  </si>
  <si>
    <t xml:space="preserve">20 de abril de 2025  21:13</t>
  </si>
  <si>
    <t xml:space="preserve">10 minutos 30 segundos</t>
  </si>
  <si>
    <t xml:space="preserve">20 de abril de 2025  21:32</t>
  </si>
  <si>
    <t xml:space="preserve">17 minutos 16 segundos</t>
  </si>
  <si>
    <t xml:space="preserve">16 de abril de 2025  16:05</t>
  </si>
  <si>
    <t xml:space="preserve">19 minutos 29 segundos</t>
  </si>
  <si>
    <t xml:space="preserve">20 de abril de 2025  01:02</t>
  </si>
  <si>
    <t xml:space="preserve">6 minutos 58 segundos</t>
  </si>
  <si>
    <t xml:space="preserve">20 de abril de 2025  21:39</t>
  </si>
  <si>
    <t xml:space="preserve">4 días 8 horas</t>
  </si>
  <si>
    <t xml:space="preserve">20 de abril de 2025  18:33</t>
  </si>
  <si>
    <t xml:space="preserve">12 minutos 8 segundos</t>
  </si>
  <si>
    <t xml:space="preserve">16 de abril de 2025  16:01</t>
  </si>
  <si>
    <t xml:space="preserve">17 minutos 22 segundos</t>
  </si>
  <si>
    <t xml:space="preserve">16 de abril de 2025  14:06</t>
  </si>
  <si>
    <t xml:space="preserve">1 hora</t>
  </si>
  <si>
    <t xml:space="preserve">20 de abril de 2025  20:51</t>
  </si>
  <si>
    <t xml:space="preserve">23 minutos 1 segundos</t>
  </si>
  <si>
    <t xml:space="preserve">20 de abril de 2025  21:45</t>
  </si>
  <si>
    <t xml:space="preserve">20 minutos 6 segundos</t>
  </si>
  <si>
    <t xml:space="preserve">Calificación/8,00</t>
  </si>
  <si>
    <t xml:space="preserve">7 de mayo de 2025  21:45</t>
  </si>
  <si>
    <t xml:space="preserve">8 minutos 1 segundos</t>
  </si>
  <si>
    <t xml:space="preserve">7 de mayo de 2025  21:57</t>
  </si>
  <si>
    <t xml:space="preserve">3 minutos 43 segundos</t>
  </si>
  <si>
    <t xml:space="preserve">7 de mayo de 2025  21:07</t>
  </si>
  <si>
    <t xml:space="preserve">7 minutos 10 segundos</t>
  </si>
  <si>
    <t xml:space="preserve">7 de mayo de 2025  21:14</t>
  </si>
  <si>
    <t xml:space="preserve">5 minutos 20 segundos</t>
  </si>
  <si>
    <t xml:space="preserve">7 de mayo de 2025  22:51</t>
  </si>
  <si>
    <t xml:space="preserve">2 minutos 22 segundos</t>
  </si>
  <si>
    <t xml:space="preserve">7 de mayo de 2025  22:59</t>
  </si>
  <si>
    <t xml:space="preserve">1 minutos 49 segundos</t>
  </si>
  <si>
    <t xml:space="preserve">7 de mayo de 2025  23:03</t>
  </si>
  <si>
    <t xml:space="preserve">1 minutos 40 segundos</t>
  </si>
  <si>
    <t xml:space="preserve">7 de mayo de 2025  22:23</t>
  </si>
  <si>
    <t xml:space="preserve">2 minutos 52 segundos</t>
  </si>
  <si>
    <t xml:space="preserve">7 de mayo de 2025  22:30</t>
  </si>
  <si>
    <t xml:space="preserve">2 minutos 28 segundos</t>
  </si>
  <si>
    <t xml:space="preserve">7 de mayo de 2025  22:18</t>
  </si>
  <si>
    <t xml:space="preserve">3 minutos 42 segundos</t>
  </si>
  <si>
    <t xml:space="preserve">7 de mayo de 2025  22:08</t>
  </si>
  <si>
    <t xml:space="preserve">2 minutos 38 segundos</t>
  </si>
  <si>
    <t xml:space="preserve">7 de mayo de 2025  22:04</t>
  </si>
  <si>
    <t xml:space="preserve">4 minutos 31 segundos</t>
  </si>
  <si>
    <t xml:space="preserve">7 de mayo de 2025  17:00</t>
  </si>
  <si>
    <t xml:space="preserve">2 minutos 57 segundos</t>
  </si>
  <si>
    <t xml:space="preserve">7 de mayo de 2025  16:56</t>
  </si>
  <si>
    <t xml:space="preserve">7 minutos 19 segundos</t>
  </si>
  <si>
    <t xml:space="preserve">29 de abril de 2025  23:22</t>
  </si>
  <si>
    <t xml:space="preserve">29 de abril de 2025  23:13</t>
  </si>
  <si>
    <t xml:space="preserve">12 minutos 28 segundos</t>
  </si>
  <si>
    <t xml:space="preserve">7 de mayo de 2025  13:08</t>
  </si>
  <si>
    <t xml:space="preserve">7 de mayo de 2025  13:01</t>
  </si>
  <si>
    <t xml:space="preserve">5 minutos 3 segundos</t>
  </si>
  <si>
    <t xml:space="preserve">7 de mayo de 2025  12:55</t>
  </si>
  <si>
    <t xml:space="preserve">5 minutos 41 segundos</t>
  </si>
  <si>
    <t xml:space="preserve">7 de mayo de 2025  17:09</t>
  </si>
  <si>
    <t xml:space="preserve">3 minutos 21 segundos</t>
  </si>
  <si>
    <t xml:space="preserve">7 de mayo de 2025  20:32</t>
  </si>
  <si>
    <t xml:space="preserve">3 minutos 25 segundos</t>
  </si>
  <si>
    <t xml:space="preserve">7 de mayo de 2025  21:43</t>
  </si>
  <si>
    <t xml:space="preserve">4 minutos 15 segundos</t>
  </si>
  <si>
    <t xml:space="preserve">41 minutos 17 segundos</t>
  </si>
  <si>
    <t xml:space="preserve">58 minutos 25 segundos</t>
  </si>
  <si>
    <t xml:space="preserve">32 minutos 50 segundos</t>
  </si>
  <si>
    <t xml:space="preserve">32 minutos 57 segundos</t>
  </si>
  <si>
    <t xml:space="preserve">58 minutos 33 segundos</t>
  </si>
  <si>
    <t xml:space="preserve">38 minutos 6 segundos</t>
  </si>
  <si>
    <t xml:space="preserve">56 minutos 30 segundos</t>
  </si>
  <si>
    <t xml:space="preserve">30 minutos 34 segundos</t>
  </si>
  <si>
    <t xml:space="preserve">51 minutos 17 segundos</t>
  </si>
  <si>
    <t xml:space="preserve">30 minutos 40 segundos</t>
  </si>
  <si>
    <t xml:space="preserve">42 minutos 3 segundos</t>
  </si>
  <si>
    <t xml:space="preserve">43 minutos 8 segundos</t>
  </si>
  <si>
    <t xml:space="preserve">29 minutos 4 segundos</t>
  </si>
  <si>
    <t xml:space="preserve">41 minutos 58 segundos</t>
  </si>
  <si>
    <t xml:space="preserve">48 minutos 34 segundos</t>
  </si>
  <si>
    <t xml:space="preserve">42 minutos 9 segundos</t>
  </si>
  <si>
    <t xml:space="preserve">49 minutos 1 segundos</t>
  </si>
  <si>
    <t xml:space="preserve">50 minutos 14 segundos</t>
  </si>
  <si>
    <t xml:space="preserve">43 minutos 47 segundos</t>
  </si>
  <si>
    <t xml:space="preserve">44 minutos 13 segundos</t>
  </si>
  <si>
    <t xml:space="preserve">39 minutos 4 segundos</t>
  </si>
  <si>
    <t xml:space="preserve">58 minutos 3 segundos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</si>
</sst>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  <fill>
      <patternFill patternType="solid">
        <fgColor rgb="FFFFC107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000000"/>
        <sz val="12"/>
      </font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81D41A"/>
      <rgbColor rgb="FFFFC107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3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S17" activeCellId="0" sqref="BS17"/>
    </sheetView>
  </sheetViews>
  <sheetFormatPr defaultColWidth="8.992187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16.35"/>
    <col collapsed="false" customWidth="true" hidden="false" outlineLevel="0" max="3" min="3" style="1" width="17.25"/>
    <col collapsed="false" customWidth="true" hidden="true" outlineLevel="0" max="4" min="4" style="1" width="32.67"/>
    <col collapsed="false" customWidth="true" hidden="true" outlineLevel="0" max="14" min="5" style="1" width="8.78"/>
    <col collapsed="false" customWidth="true" hidden="true" outlineLevel="0" max="15" min="15" style="1" width="10.52"/>
    <col collapsed="false" customWidth="true" hidden="true" outlineLevel="0" max="29" min="16" style="1" width="8.78"/>
    <col collapsed="false" customWidth="true" hidden="true" outlineLevel="0" max="35" min="30" style="1" width="8.9"/>
    <col collapsed="false" customWidth="true" hidden="true" outlineLevel="0" max="36" min="36" style="1" width="14.59"/>
    <col collapsed="false" customWidth="false" hidden="true" outlineLevel="0" max="44" min="37" style="1" width="8.96"/>
    <col collapsed="false" customWidth="false" hidden="true" outlineLevel="0" max="59" min="45" style="1" width="8.99"/>
    <col collapsed="false" customWidth="false" hidden="true" outlineLevel="0" max="62" min="60" style="2" width="8.99"/>
    <col collapsed="false" customWidth="false" hidden="true" outlineLevel="0" max="66" min="63" style="1" width="8.99"/>
    <col collapsed="false" customWidth="false" hidden="true" outlineLevel="0" max="67" min="67" style="0" width="8.99"/>
  </cols>
  <sheetData>
    <row r="1" customFormat="false" ht="15" hidden="false" customHeight="false" outlineLevel="0" collapsed="false">
      <c r="BO1" s="3" t="s">
        <v>0</v>
      </c>
      <c r="BP1" s="4" t="n">
        <v>45691</v>
      </c>
      <c r="BQ1" s="4" t="n">
        <v>45996</v>
      </c>
      <c r="BR1" s="4" t="n">
        <v>46001</v>
      </c>
      <c r="BS1" s="4" t="n">
        <v>46003</v>
      </c>
    </row>
    <row r="2" customFormat="false" ht="15" hidden="false" customHeight="false" outlineLevel="0" collapsed="false">
      <c r="A2" s="1" t="s">
        <v>1</v>
      </c>
      <c r="B2" s="3" t="s">
        <v>2</v>
      </c>
      <c r="C2" s="3" t="s">
        <v>3</v>
      </c>
      <c r="D2" s="3" t="s">
        <v>4</v>
      </c>
      <c r="E2" s="4" t="n">
        <v>45784</v>
      </c>
      <c r="F2" s="4" t="n">
        <v>45791</v>
      </c>
      <c r="G2" s="4" t="n">
        <v>45793</v>
      </c>
      <c r="H2" s="4" t="n">
        <v>45798</v>
      </c>
      <c r="I2" s="1" t="s">
        <v>5</v>
      </c>
      <c r="J2" s="4" t="n">
        <v>45800</v>
      </c>
      <c r="K2" s="4" t="n">
        <v>45805</v>
      </c>
      <c r="L2" s="4" t="n">
        <v>45807</v>
      </c>
      <c r="M2" s="4" t="n">
        <v>45812</v>
      </c>
      <c r="N2" s="4" t="n">
        <v>45814</v>
      </c>
      <c r="O2" s="1" t="s">
        <v>5</v>
      </c>
      <c r="P2" s="4" t="n">
        <v>45819</v>
      </c>
      <c r="Q2" s="4" t="n">
        <v>45821</v>
      </c>
      <c r="R2" s="4" t="n">
        <v>45835</v>
      </c>
      <c r="S2" s="4" t="n">
        <v>45840</v>
      </c>
      <c r="T2" s="4" t="n">
        <v>45849</v>
      </c>
      <c r="U2" s="4" t="s">
        <v>6</v>
      </c>
      <c r="V2" s="1" t="s">
        <v>7</v>
      </c>
      <c r="W2" s="1" t="s">
        <v>8</v>
      </c>
      <c r="X2" s="1" t="s">
        <v>9</v>
      </c>
      <c r="Y2" s="1" t="s">
        <v>10</v>
      </c>
      <c r="Z2" s="1" t="s">
        <v>11</v>
      </c>
      <c r="AA2" s="1" t="n">
        <v>14</v>
      </c>
      <c r="AB2" s="4" t="n">
        <v>45854</v>
      </c>
      <c r="AC2" s="1" t="s">
        <v>5</v>
      </c>
      <c r="AD2" s="4" t="n">
        <v>45889</v>
      </c>
      <c r="AE2" s="4" t="n">
        <v>45896</v>
      </c>
      <c r="AF2" s="1" t="s">
        <v>12</v>
      </c>
      <c r="AG2" s="4" t="n">
        <v>45903</v>
      </c>
      <c r="AH2" s="1" t="s">
        <v>13</v>
      </c>
      <c r="AI2" s="4" t="n">
        <v>45905</v>
      </c>
      <c r="AJ2" s="1" t="s">
        <v>14</v>
      </c>
      <c r="AK2" s="4" t="n">
        <v>45910</v>
      </c>
      <c r="AL2" s="1" t="s">
        <v>5</v>
      </c>
      <c r="AM2" s="4" t="n">
        <v>45917</v>
      </c>
      <c r="AN2" s="1" t="s">
        <v>5</v>
      </c>
      <c r="AO2" s="4" t="n">
        <v>45919</v>
      </c>
      <c r="AP2" s="4" t="n">
        <v>45924</v>
      </c>
      <c r="AQ2" s="1" t="s">
        <v>5</v>
      </c>
      <c r="AR2" s="4" t="n">
        <v>45926</v>
      </c>
      <c r="AS2" s="4" t="n">
        <v>45931</v>
      </c>
      <c r="AT2" s="1" t="s">
        <v>5</v>
      </c>
      <c r="AU2" s="4" t="n">
        <v>45933</v>
      </c>
      <c r="AV2" s="4" t="n">
        <v>45938</v>
      </c>
      <c r="AW2" s="3" t="s">
        <v>5</v>
      </c>
      <c r="AX2" s="4" t="n">
        <v>45945</v>
      </c>
      <c r="AY2" s="4" t="n">
        <v>45947</v>
      </c>
      <c r="AZ2" s="4" t="n">
        <v>45952</v>
      </c>
      <c r="BA2" s="4" t="n">
        <v>45959</v>
      </c>
      <c r="BB2" s="3" t="s">
        <v>5</v>
      </c>
      <c r="BC2" s="4" t="n">
        <v>45961</v>
      </c>
      <c r="BD2" s="4" t="n">
        <v>45966</v>
      </c>
      <c r="BE2" s="3" t="s">
        <v>5</v>
      </c>
      <c r="BF2" s="4" t="n">
        <v>45973</v>
      </c>
      <c r="BG2" s="3" t="s">
        <v>5</v>
      </c>
      <c r="BH2" s="5" t="n">
        <v>45980</v>
      </c>
      <c r="BI2" s="5" t="n">
        <v>45987</v>
      </c>
      <c r="BJ2" s="5" t="n">
        <v>45989</v>
      </c>
      <c r="BK2" s="6" t="s">
        <v>5</v>
      </c>
      <c r="BL2" s="3" t="s">
        <v>7</v>
      </c>
      <c r="BM2" s="3" t="s">
        <v>8</v>
      </c>
      <c r="BN2" s="3" t="s">
        <v>9</v>
      </c>
      <c r="BO2" s="3" t="s">
        <v>15</v>
      </c>
      <c r="BR2" s="3"/>
      <c r="BS2" s="3"/>
    </row>
    <row r="3" customFormat="false" ht="15" hidden="true" customHeight="false" outlineLevel="0" collapsed="false">
      <c r="A3" s="1" t="n">
        <v>1</v>
      </c>
      <c r="B3" s="3" t="s">
        <v>16</v>
      </c>
      <c r="C3" s="3" t="s">
        <v>17</v>
      </c>
      <c r="D3" s="3" t="s">
        <v>18</v>
      </c>
      <c r="E3" s="1" t="s">
        <v>19</v>
      </c>
      <c r="F3" s="1" t="s">
        <v>19</v>
      </c>
      <c r="G3" s="1" t="s">
        <v>19</v>
      </c>
      <c r="H3" s="1" t="s">
        <v>20</v>
      </c>
      <c r="J3" s="1" t="s">
        <v>19</v>
      </c>
      <c r="K3" s="1" t="s">
        <v>20</v>
      </c>
      <c r="L3" s="1" t="s">
        <v>19</v>
      </c>
      <c r="M3" s="1" t="s">
        <v>19</v>
      </c>
      <c r="N3" s="1" t="s">
        <v>20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20</v>
      </c>
      <c r="U3" s="7" t="n">
        <f aca="false">COUNTIF(E3:T3,"C")</f>
        <v>0</v>
      </c>
      <c r="V3" s="7" t="n">
        <f aca="false">COUNTIF(E3:T3,"P")</f>
        <v>4</v>
      </c>
      <c r="W3" s="7" t="n">
        <f aca="false">COUNTIF(E3:T3,"M")</f>
        <v>0</v>
      </c>
      <c r="X3" s="7" t="n">
        <f aca="false">COUNTIF(E3:T3,"M")</f>
        <v>0</v>
      </c>
      <c r="Y3" s="7" t="n">
        <f aca="false">U3+V3+W3/2+X3/4</f>
        <v>4</v>
      </c>
      <c r="Z3" s="8" t="n">
        <f aca="false">ROUND(Y3*10/$AA$2,0)</f>
        <v>3</v>
      </c>
      <c r="AB3" s="1" t="s">
        <v>20</v>
      </c>
      <c r="AD3" s="1" t="s">
        <v>19</v>
      </c>
      <c r="AE3" s="1" t="s">
        <v>20</v>
      </c>
      <c r="AG3" s="1" t="s">
        <v>19</v>
      </c>
      <c r="AI3" s="1" t="s">
        <v>20</v>
      </c>
      <c r="AK3" s="1" t="s">
        <v>20</v>
      </c>
      <c r="AM3" s="1" t="s">
        <v>19</v>
      </c>
      <c r="AO3" s="1" t="s">
        <v>19</v>
      </c>
      <c r="AP3" s="1" t="s">
        <v>19</v>
      </c>
      <c r="AR3" s="1" t="s">
        <v>20</v>
      </c>
      <c r="AS3" s="1" t="s">
        <v>20</v>
      </c>
      <c r="AU3" s="1" t="s">
        <v>20</v>
      </c>
      <c r="AV3" s="1" t="s">
        <v>20</v>
      </c>
      <c r="AX3" s="3" t="s">
        <v>20</v>
      </c>
      <c r="AY3" s="3" t="s">
        <v>20</v>
      </c>
      <c r="AZ3" s="3" t="s">
        <v>20</v>
      </c>
      <c r="BA3" s="3" t="s">
        <v>20</v>
      </c>
      <c r="BC3" s="1" t="s">
        <v>20</v>
      </c>
      <c r="BD3" s="3" t="s">
        <v>20</v>
      </c>
      <c r="BF3" s="3" t="s">
        <v>20</v>
      </c>
      <c r="BH3" s="2" t="s">
        <v>20</v>
      </c>
      <c r="BI3" s="2" t="s">
        <v>20</v>
      </c>
      <c r="BJ3" s="2" t="s">
        <v>20</v>
      </c>
      <c r="BL3" s="3" t="n">
        <f aca="false">COUNTIF(AB3:BF3,"P")</f>
        <v>15</v>
      </c>
      <c r="BM3" s="3" t="n">
        <f aca="false">COUNTIF(AB3:BF3,"M")</f>
        <v>0</v>
      </c>
      <c r="BN3" s="3" t="n">
        <f aca="false">COUNTIF(AB3:BF3,"T")</f>
        <v>0</v>
      </c>
      <c r="BO3" s="9" t="n">
        <f aca="false">ROUND((BL3+BM3/2+BN3/4)*0.5,0)</f>
        <v>8</v>
      </c>
    </row>
    <row r="4" customFormat="false" ht="15" hidden="true" customHeight="false" outlineLevel="0" collapsed="false">
      <c r="A4" s="1" t="n">
        <v>2</v>
      </c>
      <c r="B4" s="3" t="s">
        <v>21</v>
      </c>
      <c r="C4" s="3" t="s">
        <v>22</v>
      </c>
      <c r="D4" s="3" t="s">
        <v>23</v>
      </c>
      <c r="E4" s="1" t="s">
        <v>20</v>
      </c>
      <c r="F4" s="1" t="s">
        <v>20</v>
      </c>
      <c r="G4" s="1" t="s">
        <v>20</v>
      </c>
      <c r="H4" s="1" t="s">
        <v>20</v>
      </c>
      <c r="J4" s="1" t="s">
        <v>20</v>
      </c>
      <c r="K4" s="1" t="s">
        <v>20</v>
      </c>
      <c r="L4" s="1" t="s">
        <v>20</v>
      </c>
      <c r="M4" s="1" t="s">
        <v>19</v>
      </c>
      <c r="N4" s="1" t="s">
        <v>20</v>
      </c>
      <c r="P4" s="1" t="s">
        <v>20</v>
      </c>
      <c r="Q4" s="1" t="s">
        <v>20</v>
      </c>
      <c r="R4" s="1" t="s">
        <v>20</v>
      </c>
      <c r="S4" s="1" t="s">
        <v>20</v>
      </c>
      <c r="T4" s="1" t="s">
        <v>20</v>
      </c>
      <c r="U4" s="7" t="n">
        <f aca="false">COUNTIF(E4:T4,"C")</f>
        <v>0</v>
      </c>
      <c r="V4" s="7" t="n">
        <f aca="false">COUNTIF(E4:T4,"P")</f>
        <v>13</v>
      </c>
      <c r="W4" s="7" t="n">
        <f aca="false">COUNTIF(E4:T4,"M")</f>
        <v>0</v>
      </c>
      <c r="X4" s="7" t="n">
        <f aca="false">COUNTIF(E4:T4,"M")</f>
        <v>0</v>
      </c>
      <c r="Y4" s="7" t="n">
        <f aca="false">U4+V4+W4/2+X4/4</f>
        <v>13</v>
      </c>
      <c r="Z4" s="8" t="n">
        <f aca="false">ROUND(Y4*10/$AA$2,0)</f>
        <v>9</v>
      </c>
      <c r="AB4" s="1" t="s">
        <v>20</v>
      </c>
      <c r="AD4" s="1" t="s">
        <v>20</v>
      </c>
      <c r="AE4" s="1" t="s">
        <v>20</v>
      </c>
      <c r="AG4" s="1" t="s">
        <v>20</v>
      </c>
      <c r="AH4" s="1" t="n">
        <v>1</v>
      </c>
      <c r="AI4" s="1" t="s">
        <v>20</v>
      </c>
      <c r="AJ4" s="1" t="s">
        <v>24</v>
      </c>
      <c r="AK4" s="1" t="s">
        <v>20</v>
      </c>
      <c r="AM4" s="1" t="s">
        <v>20</v>
      </c>
      <c r="AO4" s="1" t="s">
        <v>20</v>
      </c>
      <c r="AP4" s="1" t="s">
        <v>20</v>
      </c>
      <c r="AQ4" s="1" t="s">
        <v>25</v>
      </c>
      <c r="AR4" s="1" t="s">
        <v>20</v>
      </c>
      <c r="AS4" s="1" t="s">
        <v>20</v>
      </c>
      <c r="AU4" s="1" t="s">
        <v>20</v>
      </c>
      <c r="AV4" s="1" t="s">
        <v>19</v>
      </c>
      <c r="AX4" s="3" t="s">
        <v>20</v>
      </c>
      <c r="AY4" s="3" t="s">
        <v>20</v>
      </c>
      <c r="AZ4" s="3" t="s">
        <v>20</v>
      </c>
      <c r="BA4" s="3" t="s">
        <v>20</v>
      </c>
      <c r="BC4" s="1" t="s">
        <v>20</v>
      </c>
      <c r="BD4" s="3" t="s">
        <v>20</v>
      </c>
      <c r="BF4" s="3" t="s">
        <v>20</v>
      </c>
      <c r="BH4" s="2" t="s">
        <v>20</v>
      </c>
      <c r="BI4" s="2" t="s">
        <v>20</v>
      </c>
      <c r="BJ4" s="2" t="s">
        <v>20</v>
      </c>
      <c r="BL4" s="3" t="n">
        <f aca="false">COUNTIF(AB4:BF4,"P")</f>
        <v>19</v>
      </c>
      <c r="BM4" s="3" t="n">
        <f aca="false">COUNTIF(AB4:BF4,"M")</f>
        <v>0</v>
      </c>
      <c r="BN4" s="3" t="n">
        <f aca="false">COUNTIF(AB4:BF4,"T")</f>
        <v>0</v>
      </c>
      <c r="BO4" s="9" t="n">
        <f aca="false">ROUND((BL4+BM4/2+BN4/4)*0.5,0)</f>
        <v>10</v>
      </c>
    </row>
    <row r="5" customFormat="false" ht="15" hidden="true" customHeight="false" outlineLevel="0" collapsed="false">
      <c r="A5" s="1" t="n">
        <v>3</v>
      </c>
      <c r="B5" s="3" t="s">
        <v>26</v>
      </c>
      <c r="C5" s="3" t="s">
        <v>27</v>
      </c>
      <c r="D5" s="3" t="s">
        <v>28</v>
      </c>
      <c r="E5" s="1" t="s">
        <v>20</v>
      </c>
      <c r="F5" s="1" t="s">
        <v>20</v>
      </c>
      <c r="G5" s="1" t="s">
        <v>20</v>
      </c>
      <c r="H5" s="1" t="s">
        <v>20</v>
      </c>
      <c r="J5" s="1" t="s">
        <v>20</v>
      </c>
      <c r="K5" s="1" t="s">
        <v>20</v>
      </c>
      <c r="L5" s="1" t="s">
        <v>19</v>
      </c>
      <c r="M5" s="1" t="s">
        <v>20</v>
      </c>
      <c r="N5" s="1" t="s">
        <v>20</v>
      </c>
      <c r="P5" s="1" t="s">
        <v>20</v>
      </c>
      <c r="Q5" s="1" t="s">
        <v>20</v>
      </c>
      <c r="R5" s="1" t="s">
        <v>19</v>
      </c>
      <c r="S5" s="1" t="s">
        <v>20</v>
      </c>
      <c r="T5" s="1" t="s">
        <v>20</v>
      </c>
      <c r="U5" s="7" t="n">
        <f aca="false">COUNTIF(E5:T5,"C")</f>
        <v>0</v>
      </c>
      <c r="V5" s="7" t="n">
        <f aca="false">COUNTIF(E5:T5,"P")</f>
        <v>12</v>
      </c>
      <c r="W5" s="7" t="n">
        <f aca="false">COUNTIF(E5:T5,"M")</f>
        <v>0</v>
      </c>
      <c r="X5" s="7" t="n">
        <f aca="false">COUNTIF(E5:T5,"M")</f>
        <v>0</v>
      </c>
      <c r="Y5" s="7" t="n">
        <f aca="false">U5+V5+W5/2+X5/4</f>
        <v>12</v>
      </c>
      <c r="Z5" s="8" t="n">
        <f aca="false">ROUND(Y5*10/$AA$2,0)</f>
        <v>9</v>
      </c>
      <c r="AB5" s="1" t="s">
        <v>20</v>
      </c>
      <c r="AD5" s="1" t="s">
        <v>20</v>
      </c>
      <c r="AE5" s="1" t="s">
        <v>20</v>
      </c>
      <c r="AG5" s="1" t="s">
        <v>20</v>
      </c>
      <c r="AI5" s="1" t="s">
        <v>20</v>
      </c>
      <c r="AJ5" s="1" t="s">
        <v>29</v>
      </c>
      <c r="AK5" s="1" t="s">
        <v>20</v>
      </c>
      <c r="AM5" s="1" t="s">
        <v>20</v>
      </c>
      <c r="AO5" s="1" t="s">
        <v>19</v>
      </c>
      <c r="AP5" s="1" t="s">
        <v>20</v>
      </c>
      <c r="AQ5" s="1" t="s">
        <v>30</v>
      </c>
      <c r="AR5" s="1" t="s">
        <v>20</v>
      </c>
      <c r="AS5" s="1" t="s">
        <v>20</v>
      </c>
      <c r="AU5" s="1" t="s">
        <v>20</v>
      </c>
      <c r="AV5" s="1" t="s">
        <v>20</v>
      </c>
      <c r="AX5" s="3" t="s">
        <v>20</v>
      </c>
      <c r="AY5" s="3" t="s">
        <v>20</v>
      </c>
      <c r="AZ5" s="3" t="s">
        <v>20</v>
      </c>
      <c r="BA5" s="3" t="s">
        <v>20</v>
      </c>
      <c r="BC5" s="1" t="s">
        <v>20</v>
      </c>
      <c r="BD5" s="3" t="s">
        <v>31</v>
      </c>
      <c r="BE5" s="10" t="n">
        <v>0.548611111111111</v>
      </c>
      <c r="BF5" s="3" t="s">
        <v>20</v>
      </c>
      <c r="BH5" s="2" t="s">
        <v>20</v>
      </c>
      <c r="BI5" s="2" t="s">
        <v>20</v>
      </c>
      <c r="BJ5" s="2" t="s">
        <v>20</v>
      </c>
      <c r="BL5" s="3" t="n">
        <f aca="false">COUNTIF(AB5:BF5,"P")</f>
        <v>18</v>
      </c>
      <c r="BM5" s="3" t="n">
        <f aca="false">COUNTIF(AB5:BF5,"M")</f>
        <v>0</v>
      </c>
      <c r="BN5" s="3" t="n">
        <f aca="false">COUNTIF(AB5:BF5,"T")</f>
        <v>1</v>
      </c>
      <c r="BO5" s="9" t="n">
        <f aca="false">ROUND((BL5+BM5/2+BN5/4)*0.5,0)</f>
        <v>9</v>
      </c>
    </row>
    <row r="6" customFormat="false" ht="15" hidden="true" customHeight="false" outlineLevel="0" collapsed="false">
      <c r="A6" s="1" t="n">
        <v>4</v>
      </c>
      <c r="B6" s="3" t="s">
        <v>32</v>
      </c>
      <c r="C6" s="3" t="s">
        <v>33</v>
      </c>
      <c r="D6" s="3" t="s">
        <v>34</v>
      </c>
      <c r="E6" s="1" t="s">
        <v>20</v>
      </c>
      <c r="F6" s="1" t="s">
        <v>20</v>
      </c>
      <c r="G6" s="1" t="s">
        <v>20</v>
      </c>
      <c r="H6" s="1" t="s">
        <v>20</v>
      </c>
      <c r="J6" s="1" t="s">
        <v>20</v>
      </c>
      <c r="K6" s="1" t="s">
        <v>20</v>
      </c>
      <c r="L6" s="1" t="s">
        <v>19</v>
      </c>
      <c r="M6" s="1" t="s">
        <v>20</v>
      </c>
      <c r="N6" s="1" t="s">
        <v>19</v>
      </c>
      <c r="P6" s="1" t="s">
        <v>20</v>
      </c>
      <c r="Q6" s="1" t="s">
        <v>20</v>
      </c>
      <c r="R6" s="1" t="s">
        <v>20</v>
      </c>
      <c r="S6" s="1" t="s">
        <v>20</v>
      </c>
      <c r="T6" s="1" t="s">
        <v>20</v>
      </c>
      <c r="U6" s="7" t="n">
        <f aca="false">COUNTIF(E6:T6,"C")</f>
        <v>0</v>
      </c>
      <c r="V6" s="7" t="n">
        <f aca="false">COUNTIF(E6:T6,"P")</f>
        <v>12</v>
      </c>
      <c r="W6" s="7" t="n">
        <f aca="false">COUNTIF(E6:T6,"M")</f>
        <v>0</v>
      </c>
      <c r="X6" s="7" t="n">
        <f aca="false">COUNTIF(E6:T6,"M")</f>
        <v>0</v>
      </c>
      <c r="Y6" s="7" t="n">
        <f aca="false">U6+V6+W6/2+X6/4</f>
        <v>12</v>
      </c>
      <c r="Z6" s="8" t="n">
        <f aca="false">ROUND(Y6*10/$AA$2,0)</f>
        <v>9</v>
      </c>
      <c r="AB6" s="1" t="s">
        <v>20</v>
      </c>
      <c r="AD6" s="1" t="s">
        <v>20</v>
      </c>
      <c r="AE6" s="1" t="s">
        <v>20</v>
      </c>
      <c r="AG6" s="1" t="s">
        <v>20</v>
      </c>
      <c r="AH6" s="1" t="n">
        <v>1</v>
      </c>
      <c r="AI6" s="1" t="s">
        <v>20</v>
      </c>
      <c r="AJ6" s="1" t="s">
        <v>35</v>
      </c>
      <c r="AK6" s="1" t="s">
        <v>20</v>
      </c>
      <c r="AM6" s="1" t="s">
        <v>20</v>
      </c>
      <c r="AO6" s="1" t="s">
        <v>19</v>
      </c>
      <c r="AP6" s="1" t="s">
        <v>20</v>
      </c>
      <c r="AQ6" s="1" t="s">
        <v>36</v>
      </c>
      <c r="AR6" s="1" t="s">
        <v>20</v>
      </c>
      <c r="AS6" s="1" t="s">
        <v>20</v>
      </c>
      <c r="AU6" s="1" t="s">
        <v>20</v>
      </c>
      <c r="AV6" s="1" t="s">
        <v>37</v>
      </c>
      <c r="AW6" s="10" t="n">
        <v>0.534722222222222</v>
      </c>
      <c r="AX6" s="3" t="s">
        <v>20</v>
      </c>
      <c r="AY6" s="3" t="s">
        <v>38</v>
      </c>
      <c r="AZ6" s="3" t="s">
        <v>20</v>
      </c>
      <c r="BA6" s="3" t="s">
        <v>20</v>
      </c>
      <c r="BC6" s="1" t="s">
        <v>20</v>
      </c>
      <c r="BD6" s="3" t="s">
        <v>20</v>
      </c>
      <c r="BF6" s="3" t="s">
        <v>20</v>
      </c>
      <c r="BH6" s="2" t="s">
        <v>20</v>
      </c>
      <c r="BI6" s="2" t="s">
        <v>20</v>
      </c>
      <c r="BJ6" s="2" t="s">
        <v>20</v>
      </c>
      <c r="BL6" s="3" t="n">
        <f aca="false">COUNTIF(AB6:BF6,"P")</f>
        <v>17</v>
      </c>
      <c r="BM6" s="3" t="n">
        <f aca="false">COUNTIF(AB6:BF6,"M")</f>
        <v>1</v>
      </c>
      <c r="BN6" s="3" t="n">
        <f aca="false">COUNTIF(AB6:BF6,"T")</f>
        <v>0</v>
      </c>
      <c r="BO6" s="9" t="n">
        <f aca="false">ROUND((BL6+BM6/2+BN6/4)*0.5,0)</f>
        <v>9</v>
      </c>
    </row>
    <row r="7" customFormat="false" ht="15" hidden="true" customHeight="false" outlineLevel="0" collapsed="false">
      <c r="A7" s="1" t="n">
        <v>5</v>
      </c>
      <c r="B7" s="3" t="s">
        <v>39</v>
      </c>
      <c r="C7" s="3" t="s">
        <v>40</v>
      </c>
      <c r="D7" s="3" t="s">
        <v>41</v>
      </c>
      <c r="E7" s="1" t="s">
        <v>20</v>
      </c>
      <c r="F7" s="1" t="s">
        <v>19</v>
      </c>
      <c r="G7" s="1" t="s">
        <v>20</v>
      </c>
      <c r="H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P7" s="1" t="s">
        <v>20</v>
      </c>
      <c r="Q7" s="1" t="s">
        <v>20</v>
      </c>
      <c r="R7" s="1" t="s">
        <v>20</v>
      </c>
      <c r="S7" s="1" t="s">
        <v>20</v>
      </c>
      <c r="T7" s="1" t="s">
        <v>20</v>
      </c>
      <c r="U7" s="7" t="n">
        <f aca="false">COUNTIF(E7:T7,"C")</f>
        <v>0</v>
      </c>
      <c r="V7" s="7" t="n">
        <f aca="false">COUNTIF(E7:T7,"P")</f>
        <v>13</v>
      </c>
      <c r="W7" s="7" t="n">
        <f aca="false">COUNTIF(E7:T7,"M")</f>
        <v>0</v>
      </c>
      <c r="X7" s="7" t="n">
        <f aca="false">COUNTIF(E7:T7,"M")</f>
        <v>0</v>
      </c>
      <c r="Y7" s="7" t="n">
        <f aca="false">U7+V7+W7/2+X7/4</f>
        <v>13</v>
      </c>
      <c r="Z7" s="8" t="n">
        <f aca="false">ROUND(Y7*10/$AA$2,0)</f>
        <v>9</v>
      </c>
      <c r="AB7" s="1" t="s">
        <v>20</v>
      </c>
      <c r="AD7" s="1" t="s">
        <v>20</v>
      </c>
      <c r="AE7" s="1" t="s">
        <v>37</v>
      </c>
      <c r="AF7" s="10" t="n">
        <v>0.541666666666667</v>
      </c>
      <c r="AG7" s="1" t="s">
        <v>37</v>
      </c>
      <c r="AI7" s="1" t="s">
        <v>20</v>
      </c>
      <c r="AK7" s="1" t="s">
        <v>31</v>
      </c>
      <c r="AL7" s="10" t="n">
        <v>0.552083333333333</v>
      </c>
      <c r="AM7" s="1" t="s">
        <v>20</v>
      </c>
      <c r="AO7" s="1" t="s">
        <v>20</v>
      </c>
      <c r="AP7" s="1" t="s">
        <v>37</v>
      </c>
      <c r="AQ7" s="10" t="n">
        <v>0.541666666666667</v>
      </c>
      <c r="AR7" s="1" t="s">
        <v>20</v>
      </c>
      <c r="AS7" s="1" t="s">
        <v>19</v>
      </c>
      <c r="AU7" s="1" t="s">
        <v>20</v>
      </c>
      <c r="AV7" s="1" t="s">
        <v>19</v>
      </c>
      <c r="AW7" s="10"/>
      <c r="AX7" s="3" t="s">
        <v>19</v>
      </c>
      <c r="AY7" s="3" t="s">
        <v>20</v>
      </c>
      <c r="AZ7" s="3" t="s">
        <v>19</v>
      </c>
      <c r="BA7" s="3" t="s">
        <v>20</v>
      </c>
      <c r="BC7" s="1" t="s">
        <v>20</v>
      </c>
      <c r="BD7" s="3" t="s">
        <v>19</v>
      </c>
      <c r="BF7" s="3" t="s">
        <v>37</v>
      </c>
      <c r="BG7" s="10" t="n">
        <v>0.541666666666667</v>
      </c>
      <c r="BH7" s="2" t="s">
        <v>31</v>
      </c>
      <c r="BI7" s="2" t="s">
        <v>19</v>
      </c>
      <c r="BJ7" s="2" t="s">
        <v>20</v>
      </c>
      <c r="BL7" s="3" t="n">
        <f aca="false">COUNTIF(AB7:BF7,"P")</f>
        <v>10</v>
      </c>
      <c r="BM7" s="3" t="n">
        <f aca="false">COUNTIF(AB7:BF7,"M")</f>
        <v>4</v>
      </c>
      <c r="BN7" s="3" t="n">
        <f aca="false">COUNTIF(AB7:BF7,"T")</f>
        <v>1</v>
      </c>
      <c r="BO7" s="9" t="n">
        <f aca="false">ROUND((BL7+BM7/2+BN7/4)*0.5,0)</f>
        <v>6</v>
      </c>
    </row>
    <row r="8" customFormat="false" ht="15" hidden="true" customHeight="false" outlineLevel="0" collapsed="false">
      <c r="A8" s="1" t="n">
        <v>6</v>
      </c>
      <c r="B8" s="3" t="s">
        <v>42</v>
      </c>
      <c r="C8" s="3" t="s">
        <v>43</v>
      </c>
      <c r="D8" s="3" t="s">
        <v>44</v>
      </c>
      <c r="E8" s="1" t="s">
        <v>20</v>
      </c>
      <c r="F8" s="1" t="s">
        <v>20</v>
      </c>
      <c r="G8" s="1" t="s">
        <v>19</v>
      </c>
      <c r="H8" s="1" t="s">
        <v>20</v>
      </c>
      <c r="J8" s="1" t="s">
        <v>20</v>
      </c>
      <c r="K8" s="1" t="s">
        <v>20</v>
      </c>
      <c r="L8" s="1" t="s">
        <v>19</v>
      </c>
      <c r="M8" s="1" t="s">
        <v>20</v>
      </c>
      <c r="N8" s="1" t="s">
        <v>20</v>
      </c>
      <c r="P8" s="1" t="s">
        <v>20</v>
      </c>
      <c r="Q8" s="1" t="s">
        <v>20</v>
      </c>
      <c r="R8" s="1" t="s">
        <v>20</v>
      </c>
      <c r="S8" s="1" t="s">
        <v>20</v>
      </c>
      <c r="T8" s="1" t="s">
        <v>20</v>
      </c>
      <c r="U8" s="7" t="n">
        <f aca="false">COUNTIF(E8:T8,"C")</f>
        <v>0</v>
      </c>
      <c r="V8" s="7" t="n">
        <f aca="false">COUNTIF(E8:T8,"P")</f>
        <v>12</v>
      </c>
      <c r="W8" s="7" t="n">
        <f aca="false">COUNTIF(E8:T8,"M")</f>
        <v>0</v>
      </c>
      <c r="X8" s="7" t="n">
        <f aca="false">COUNTIF(E8:T8,"M")</f>
        <v>0</v>
      </c>
      <c r="Y8" s="7" t="n">
        <f aca="false">U8+V8+W8/2+X8/4</f>
        <v>12</v>
      </c>
      <c r="Z8" s="8" t="n">
        <f aca="false">ROUND(Y8*10/$AA$2,0)</f>
        <v>9</v>
      </c>
      <c r="AB8" s="1" t="s">
        <v>20</v>
      </c>
      <c r="AD8" s="1" t="s">
        <v>20</v>
      </c>
      <c r="AE8" s="1" t="s">
        <v>19</v>
      </c>
      <c r="AG8" s="1" t="s">
        <v>20</v>
      </c>
      <c r="AI8" s="1" t="s">
        <v>20</v>
      </c>
      <c r="AK8" s="1" t="s">
        <v>20</v>
      </c>
      <c r="AM8" s="1" t="s">
        <v>20</v>
      </c>
      <c r="AO8" s="1" t="s">
        <v>19</v>
      </c>
      <c r="AP8" s="1" t="s">
        <v>20</v>
      </c>
      <c r="AR8" s="1" t="s">
        <v>20</v>
      </c>
      <c r="AS8" s="1" t="s">
        <v>20</v>
      </c>
      <c r="AU8" s="1" t="s">
        <v>20</v>
      </c>
      <c r="AV8" s="1" t="s">
        <v>37</v>
      </c>
      <c r="AX8" s="3" t="s">
        <v>20</v>
      </c>
      <c r="AY8" s="3" t="s">
        <v>20</v>
      </c>
      <c r="AZ8" s="3" t="s">
        <v>20</v>
      </c>
      <c r="BA8" s="3" t="s">
        <v>20</v>
      </c>
      <c r="BC8" s="1" t="s">
        <v>20</v>
      </c>
      <c r="BD8" s="3" t="s">
        <v>20</v>
      </c>
      <c r="BF8" s="3" t="s">
        <v>20</v>
      </c>
      <c r="BH8" s="2" t="s">
        <v>20</v>
      </c>
      <c r="BI8" s="2" t="s">
        <v>20</v>
      </c>
      <c r="BJ8" s="2" t="s">
        <v>20</v>
      </c>
      <c r="BL8" s="3" t="n">
        <f aca="false">COUNTIF(AB8:BF8,"P")</f>
        <v>17</v>
      </c>
      <c r="BM8" s="3" t="n">
        <f aca="false">COUNTIF(AB8:BF8,"M")</f>
        <v>1</v>
      </c>
      <c r="BN8" s="3" t="n">
        <f aca="false">COUNTIF(AB8:BF8,"T")</f>
        <v>0</v>
      </c>
      <c r="BO8" s="9" t="n">
        <f aca="false">ROUND((BL8+BM8/2+BN8/4)*0.5,0)</f>
        <v>9</v>
      </c>
    </row>
    <row r="9" customFormat="false" ht="15" hidden="true" customHeight="false" outlineLevel="0" collapsed="false">
      <c r="A9" s="1" t="n">
        <v>7</v>
      </c>
      <c r="B9" s="3" t="s">
        <v>45</v>
      </c>
      <c r="C9" s="3" t="s">
        <v>46</v>
      </c>
      <c r="D9" s="3" t="s">
        <v>47</v>
      </c>
      <c r="E9" s="1" t="s">
        <v>20</v>
      </c>
      <c r="F9" s="1" t="s">
        <v>20</v>
      </c>
      <c r="G9" s="1" t="s">
        <v>20</v>
      </c>
      <c r="H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P9" s="1" t="s">
        <v>20</v>
      </c>
      <c r="Q9" s="1" t="s">
        <v>20</v>
      </c>
      <c r="R9" s="1" t="s">
        <v>20</v>
      </c>
      <c r="S9" s="1" t="s">
        <v>20</v>
      </c>
      <c r="T9" s="1" t="s">
        <v>20</v>
      </c>
      <c r="U9" s="7" t="n">
        <f aca="false">COUNTIF(E9:T9,"C")</f>
        <v>0</v>
      </c>
      <c r="V9" s="7" t="n">
        <f aca="false">COUNTIF(E9:T9,"P")</f>
        <v>14</v>
      </c>
      <c r="W9" s="7" t="n">
        <f aca="false">COUNTIF(E9:T9,"M")</f>
        <v>0</v>
      </c>
      <c r="X9" s="7" t="n">
        <f aca="false">COUNTIF(E9:T9,"M")</f>
        <v>0</v>
      </c>
      <c r="Y9" s="7" t="n">
        <f aca="false">U9+V9+W9/2+X9/4</f>
        <v>14</v>
      </c>
      <c r="Z9" s="8" t="n">
        <f aca="false">ROUND(Y9*10/$AA$2,0)</f>
        <v>10</v>
      </c>
      <c r="AB9" s="1" t="s">
        <v>20</v>
      </c>
      <c r="AD9" s="1" t="s">
        <v>20</v>
      </c>
      <c r="AE9" s="1" t="s">
        <v>20</v>
      </c>
      <c r="AG9" s="1" t="s">
        <v>20</v>
      </c>
      <c r="AH9" s="1" t="n">
        <v>2</v>
      </c>
      <c r="AI9" s="1" t="s">
        <v>20</v>
      </c>
      <c r="AJ9" s="1" t="s">
        <v>48</v>
      </c>
      <c r="AK9" s="1" t="s">
        <v>20</v>
      </c>
      <c r="AM9" s="1" t="s">
        <v>20</v>
      </c>
      <c r="AO9" s="1" t="s">
        <v>20</v>
      </c>
      <c r="AP9" s="1" t="s">
        <v>20</v>
      </c>
      <c r="AQ9" s="1" t="s">
        <v>25</v>
      </c>
      <c r="AR9" s="1" t="s">
        <v>20</v>
      </c>
      <c r="AS9" s="1" t="s">
        <v>20</v>
      </c>
      <c r="AU9" s="1" t="s">
        <v>20</v>
      </c>
      <c r="AV9" s="1" t="s">
        <v>20</v>
      </c>
      <c r="AX9" s="3" t="s">
        <v>20</v>
      </c>
      <c r="AY9" s="3" t="s">
        <v>20</v>
      </c>
      <c r="AZ9" s="3" t="s">
        <v>20</v>
      </c>
      <c r="BA9" s="3" t="s">
        <v>20</v>
      </c>
      <c r="BC9" s="1" t="s">
        <v>20</v>
      </c>
      <c r="BD9" s="3" t="s">
        <v>20</v>
      </c>
      <c r="BF9" s="3" t="s">
        <v>20</v>
      </c>
      <c r="BH9" s="2" t="s">
        <v>20</v>
      </c>
      <c r="BI9" s="2" t="s">
        <v>20</v>
      </c>
      <c r="BJ9" s="2" t="s">
        <v>20</v>
      </c>
      <c r="BL9" s="3" t="n">
        <f aca="false">COUNTIF(AB9:BF9,"P")</f>
        <v>20</v>
      </c>
      <c r="BM9" s="3" t="n">
        <f aca="false">COUNTIF(AB9:BF9,"M")</f>
        <v>0</v>
      </c>
      <c r="BN9" s="3" t="n">
        <f aca="false">COUNTIF(AB9:BF9,"T")</f>
        <v>0</v>
      </c>
      <c r="BO9" s="9" t="n">
        <f aca="false">ROUND((BL9+BM9/2+BN9/4)*0.5,0)</f>
        <v>10</v>
      </c>
    </row>
    <row r="10" customFormat="false" ht="15" hidden="true" customHeight="false" outlineLevel="0" collapsed="false">
      <c r="A10" s="1" t="n">
        <v>8</v>
      </c>
      <c r="B10" s="3" t="s">
        <v>49</v>
      </c>
      <c r="C10" s="3" t="s">
        <v>50</v>
      </c>
      <c r="D10" s="3" t="s">
        <v>51</v>
      </c>
      <c r="E10" s="1" t="s">
        <v>20</v>
      </c>
      <c r="F10" s="1" t="s">
        <v>20</v>
      </c>
      <c r="G10" s="1" t="s">
        <v>20</v>
      </c>
      <c r="H10" s="1" t="s">
        <v>20</v>
      </c>
      <c r="J10" s="1" t="s">
        <v>20</v>
      </c>
      <c r="K10" s="1" t="s">
        <v>19</v>
      </c>
      <c r="L10" s="1" t="s">
        <v>19</v>
      </c>
      <c r="M10" s="1" t="s">
        <v>20</v>
      </c>
      <c r="N10" s="1" t="s">
        <v>52</v>
      </c>
      <c r="O10" s="1" t="s">
        <v>53</v>
      </c>
      <c r="P10" s="1" t="s">
        <v>20</v>
      </c>
      <c r="Q10" s="1" t="s">
        <v>20</v>
      </c>
      <c r="R10" s="1" t="s">
        <v>20</v>
      </c>
      <c r="S10" s="1" t="s">
        <v>20</v>
      </c>
      <c r="T10" s="1" t="s">
        <v>20</v>
      </c>
      <c r="U10" s="7" t="n">
        <f aca="false">COUNTIF(E10:T10,"C")</f>
        <v>1</v>
      </c>
      <c r="V10" s="7" t="n">
        <f aca="false">COUNTIF(E10:T10,"P")</f>
        <v>11</v>
      </c>
      <c r="W10" s="7" t="n">
        <f aca="false">COUNTIF(E10:T10,"M")</f>
        <v>0</v>
      </c>
      <c r="X10" s="7" t="n">
        <f aca="false">COUNTIF(E10:T10,"M")</f>
        <v>0</v>
      </c>
      <c r="Y10" s="7" t="n">
        <f aca="false">U10+V10+W10/2+X10/4</f>
        <v>12</v>
      </c>
      <c r="Z10" s="8" t="n">
        <f aca="false">ROUND(Y10*10/$AA$2,0)</f>
        <v>9</v>
      </c>
      <c r="AB10" s="1" t="s">
        <v>20</v>
      </c>
      <c r="AD10" s="1" t="s">
        <v>20</v>
      </c>
      <c r="AE10" s="1" t="s">
        <v>20</v>
      </c>
      <c r="AG10" s="1" t="s">
        <v>20</v>
      </c>
      <c r="AI10" s="1" t="s">
        <v>20</v>
      </c>
      <c r="AJ10" s="1" t="s">
        <v>54</v>
      </c>
      <c r="AK10" s="1" t="s">
        <v>20</v>
      </c>
      <c r="AM10" s="1" t="s">
        <v>20</v>
      </c>
      <c r="AO10" s="1" t="s">
        <v>20</v>
      </c>
      <c r="AP10" s="1" t="s">
        <v>20</v>
      </c>
      <c r="AQ10" s="1" t="s">
        <v>55</v>
      </c>
      <c r="AR10" s="1" t="s">
        <v>20</v>
      </c>
      <c r="AS10" s="1" t="s">
        <v>20</v>
      </c>
      <c r="AU10" s="1" t="s">
        <v>20</v>
      </c>
      <c r="AV10" s="1" t="s">
        <v>20</v>
      </c>
      <c r="AX10" s="3" t="s">
        <v>20</v>
      </c>
      <c r="AY10" s="3" t="s">
        <v>38</v>
      </c>
      <c r="AZ10" s="3" t="s">
        <v>20</v>
      </c>
      <c r="BA10" s="3" t="s">
        <v>20</v>
      </c>
      <c r="BC10" s="1" t="s">
        <v>20</v>
      </c>
      <c r="BD10" s="3" t="s">
        <v>20</v>
      </c>
      <c r="BF10" s="3" t="s">
        <v>19</v>
      </c>
      <c r="BH10" s="2" t="s">
        <v>20</v>
      </c>
      <c r="BI10" s="2" t="s">
        <v>20</v>
      </c>
      <c r="BJ10" s="2" t="s">
        <v>20</v>
      </c>
      <c r="BL10" s="3" t="n">
        <f aca="false">COUNTIF(AB10:BF10,"P")</f>
        <v>18</v>
      </c>
      <c r="BM10" s="3" t="n">
        <f aca="false">COUNTIF(AB10:BF10,"M")</f>
        <v>0</v>
      </c>
      <c r="BN10" s="3" t="n">
        <f aca="false">COUNTIF(AB10:BF10,"T")</f>
        <v>0</v>
      </c>
      <c r="BO10" s="9" t="n">
        <f aca="false">ROUND((BL10+BM10/2+BN10/4)*0.5,0)</f>
        <v>9</v>
      </c>
    </row>
    <row r="11" s="11" customFormat="true" ht="15" hidden="false" customHeight="false" outlineLevel="0" collapsed="false">
      <c r="A11" s="2" t="n">
        <v>9</v>
      </c>
      <c r="B11" s="11" t="s">
        <v>56</v>
      </c>
      <c r="C11" s="11" t="s">
        <v>57</v>
      </c>
      <c r="D11" s="11" t="s">
        <v>58</v>
      </c>
      <c r="E11" s="2" t="s">
        <v>20</v>
      </c>
      <c r="F11" s="2" t="s">
        <v>20</v>
      </c>
      <c r="G11" s="2" t="s">
        <v>19</v>
      </c>
      <c r="H11" s="2" t="s">
        <v>19</v>
      </c>
      <c r="I11" s="2"/>
      <c r="J11" s="2" t="s">
        <v>20</v>
      </c>
      <c r="K11" s="2" t="s">
        <v>19</v>
      </c>
      <c r="L11" s="2" t="s">
        <v>20</v>
      </c>
      <c r="M11" s="2" t="s">
        <v>19</v>
      </c>
      <c r="N11" s="2" t="s">
        <v>20</v>
      </c>
      <c r="O11" s="2"/>
      <c r="P11" s="2" t="s">
        <v>20</v>
      </c>
      <c r="Q11" s="2" t="s">
        <v>20</v>
      </c>
      <c r="R11" s="2" t="s">
        <v>20</v>
      </c>
      <c r="S11" s="2" t="s">
        <v>20</v>
      </c>
      <c r="T11" s="2" t="s">
        <v>20</v>
      </c>
      <c r="U11" s="12" t="n">
        <f aca="false">COUNTIF(E11:T11,"C")</f>
        <v>0</v>
      </c>
      <c r="V11" s="12" t="n">
        <f aca="false">COUNTIF(E11:T11,"P")</f>
        <v>10</v>
      </c>
      <c r="W11" s="12" t="n">
        <f aca="false">COUNTIF(E11:T11,"M")</f>
        <v>0</v>
      </c>
      <c r="X11" s="12" t="n">
        <f aca="false">COUNTIF(E11:T11,"M")</f>
        <v>0</v>
      </c>
      <c r="Y11" s="12" t="n">
        <f aca="false">U11+V11+W11/2+X11/4</f>
        <v>10</v>
      </c>
      <c r="Z11" s="13" t="n">
        <f aca="false">ROUND(Y11*10/$AA$2,0)</f>
        <v>7</v>
      </c>
      <c r="AA11" s="2"/>
      <c r="AB11" s="2" t="s">
        <v>31</v>
      </c>
      <c r="AC11" s="14" t="n">
        <v>0.548611111111111</v>
      </c>
      <c r="AD11" s="2" t="s">
        <v>20</v>
      </c>
      <c r="AE11" s="2" t="s">
        <v>37</v>
      </c>
      <c r="AF11" s="14" t="n">
        <v>0.541666666666667</v>
      </c>
      <c r="AG11" s="2" t="s">
        <v>37</v>
      </c>
      <c r="AH11" s="2"/>
      <c r="AI11" s="2" t="s">
        <v>19</v>
      </c>
      <c r="AJ11" s="2"/>
      <c r="AK11" s="2" t="s">
        <v>31</v>
      </c>
      <c r="AL11" s="14" t="n">
        <v>0.552083333333333</v>
      </c>
      <c r="AM11" s="2" t="s">
        <v>31</v>
      </c>
      <c r="AN11" s="14" t="n">
        <v>0.552083333333333</v>
      </c>
      <c r="AO11" s="2" t="s">
        <v>20</v>
      </c>
      <c r="AP11" s="2" t="s">
        <v>31</v>
      </c>
      <c r="AQ11" s="14" t="n">
        <v>0.552083333333333</v>
      </c>
      <c r="AR11" s="2" t="s">
        <v>20</v>
      </c>
      <c r="AS11" s="2" t="s">
        <v>19</v>
      </c>
      <c r="AT11" s="2"/>
      <c r="AU11" s="2" t="s">
        <v>20</v>
      </c>
      <c r="AV11" s="2" t="s">
        <v>31</v>
      </c>
      <c r="AW11" s="14" t="n">
        <v>0.541666666666667</v>
      </c>
      <c r="AX11" s="11" t="s">
        <v>19</v>
      </c>
      <c r="AY11" s="11" t="s">
        <v>20</v>
      </c>
      <c r="AZ11" s="11" t="s">
        <v>19</v>
      </c>
      <c r="BA11" s="11" t="s">
        <v>19</v>
      </c>
      <c r="BB11" s="2"/>
      <c r="BC11" s="2" t="s">
        <v>20</v>
      </c>
      <c r="BD11" s="11" t="s">
        <v>19</v>
      </c>
      <c r="BE11" s="2"/>
      <c r="BF11" s="11" t="s">
        <v>19</v>
      </c>
      <c r="BG11" s="2"/>
      <c r="BH11" s="2" t="s">
        <v>19</v>
      </c>
      <c r="BI11" s="2" t="s">
        <v>19</v>
      </c>
      <c r="BJ11" s="2" t="s">
        <v>20</v>
      </c>
      <c r="BK11" s="2"/>
      <c r="BL11" s="11" t="n">
        <f aca="false">COUNTIF(AB11:BF11,"P")</f>
        <v>6</v>
      </c>
      <c r="BM11" s="11" t="n">
        <f aca="false">COUNTIF(AB11:BF11,"M")</f>
        <v>2</v>
      </c>
      <c r="BN11" s="11" t="n">
        <f aca="false">COUNTIF(AB11:BF11,"T")</f>
        <v>5</v>
      </c>
      <c r="BO11" s="15" t="n">
        <f aca="false">ROUND((BL11+BM11/2+BN11/4)*0.5,0)</f>
        <v>4</v>
      </c>
      <c r="BP11" s="11" t="s">
        <v>20</v>
      </c>
      <c r="BQ11" s="11" t="s">
        <v>20</v>
      </c>
      <c r="BR11" s="11" t="s">
        <v>19</v>
      </c>
      <c r="BS11" s="11" t="s">
        <v>20</v>
      </c>
    </row>
    <row r="12" customFormat="false" ht="15" hidden="true" customHeight="false" outlineLevel="0" collapsed="false">
      <c r="A12" s="1" t="n">
        <v>10</v>
      </c>
      <c r="B12" s="3" t="s">
        <v>59</v>
      </c>
      <c r="C12" s="3" t="s">
        <v>60</v>
      </c>
      <c r="D12" s="3" t="s">
        <v>61</v>
      </c>
      <c r="E12" s="1" t="s">
        <v>20</v>
      </c>
      <c r="F12" s="1" t="s">
        <v>20</v>
      </c>
      <c r="G12" s="1" t="s">
        <v>19</v>
      </c>
      <c r="H12" s="1" t="s">
        <v>20</v>
      </c>
      <c r="J12" s="1" t="s">
        <v>19</v>
      </c>
      <c r="K12" s="1" t="s">
        <v>20</v>
      </c>
      <c r="L12" s="1" t="s">
        <v>20</v>
      </c>
      <c r="M12" s="1" t="s">
        <v>20</v>
      </c>
      <c r="N12" s="1" t="s">
        <v>20</v>
      </c>
      <c r="P12" s="1" t="s">
        <v>20</v>
      </c>
      <c r="Q12" s="1" t="s">
        <v>20</v>
      </c>
      <c r="R12" s="1" t="s">
        <v>19</v>
      </c>
      <c r="S12" s="1" t="s">
        <v>20</v>
      </c>
      <c r="T12" s="1" t="s">
        <v>19</v>
      </c>
      <c r="U12" s="7" t="n">
        <f aca="false">COUNTIF(E12:T12,"C")</f>
        <v>0</v>
      </c>
      <c r="V12" s="7" t="n">
        <f aca="false">COUNTIF(E12:T12,"P")</f>
        <v>10</v>
      </c>
      <c r="W12" s="7" t="n">
        <f aca="false">COUNTIF(E12:T12,"M")</f>
        <v>0</v>
      </c>
      <c r="X12" s="7" t="n">
        <f aca="false">COUNTIF(E12:T12,"M")</f>
        <v>0</v>
      </c>
      <c r="Y12" s="7" t="n">
        <f aca="false">U12+V12+W12/2+X12/4</f>
        <v>10</v>
      </c>
      <c r="Z12" s="8" t="n">
        <f aca="false">ROUND(Y12*10/$AA$2,0)</f>
        <v>7</v>
      </c>
      <c r="AB12" s="1" t="s">
        <v>20</v>
      </c>
      <c r="AD12" s="1" t="s">
        <v>20</v>
      </c>
      <c r="AE12" s="1" t="s">
        <v>19</v>
      </c>
      <c r="AG12" s="1" t="s">
        <v>20</v>
      </c>
      <c r="AI12" s="1" t="s">
        <v>20</v>
      </c>
      <c r="AJ12" s="1" t="s">
        <v>62</v>
      </c>
      <c r="AK12" s="1" t="s">
        <v>20</v>
      </c>
      <c r="AM12" s="1" t="s">
        <v>20</v>
      </c>
      <c r="AO12" s="1" t="s">
        <v>20</v>
      </c>
      <c r="AP12" s="1" t="s">
        <v>20</v>
      </c>
      <c r="AQ12" s="1" t="s">
        <v>25</v>
      </c>
      <c r="AR12" s="1" t="s">
        <v>20</v>
      </c>
      <c r="AS12" s="1" t="s">
        <v>20</v>
      </c>
      <c r="AU12" s="1" t="s">
        <v>20</v>
      </c>
      <c r="AV12" s="1" t="s">
        <v>20</v>
      </c>
      <c r="AX12" s="3" t="s">
        <v>20</v>
      </c>
      <c r="AY12" s="3" t="s">
        <v>19</v>
      </c>
      <c r="AZ12" s="3" t="s">
        <v>20</v>
      </c>
      <c r="BA12" s="3" t="s">
        <v>19</v>
      </c>
      <c r="BC12" s="1" t="s">
        <v>20</v>
      </c>
      <c r="BD12" s="3" t="s">
        <v>20</v>
      </c>
      <c r="BF12" s="3" t="s">
        <v>20</v>
      </c>
      <c r="BH12" s="2" t="s">
        <v>20</v>
      </c>
      <c r="BI12" s="2" t="s">
        <v>20</v>
      </c>
      <c r="BJ12" s="2" t="s">
        <v>20</v>
      </c>
      <c r="BL12" s="3" t="n">
        <f aca="false">COUNTIF(AB12:BF12,"P")</f>
        <v>17</v>
      </c>
      <c r="BM12" s="3" t="n">
        <f aca="false">COUNTIF(AB12:BF12,"M")</f>
        <v>0</v>
      </c>
      <c r="BN12" s="3" t="n">
        <f aca="false">COUNTIF(AB12:BF12,"T")</f>
        <v>0</v>
      </c>
      <c r="BO12" s="9" t="n">
        <f aca="false">ROUND((BL12+BM12/2+BN12/4)*0.5,0)</f>
        <v>9</v>
      </c>
    </row>
    <row r="13" customFormat="false" ht="15" hidden="true" customHeight="false" outlineLevel="0" collapsed="false">
      <c r="A13" s="1" t="n">
        <v>11</v>
      </c>
      <c r="B13" s="3" t="s">
        <v>63</v>
      </c>
      <c r="C13" s="3" t="s">
        <v>64</v>
      </c>
      <c r="D13" s="3" t="s">
        <v>65</v>
      </c>
      <c r="E13" s="1" t="s">
        <v>20</v>
      </c>
      <c r="F13" s="1" t="s">
        <v>20</v>
      </c>
      <c r="G13" s="1" t="s">
        <v>19</v>
      </c>
      <c r="H13" s="1" t="s">
        <v>20</v>
      </c>
      <c r="J13" s="1" t="s">
        <v>20</v>
      </c>
      <c r="K13" s="1" t="s">
        <v>20</v>
      </c>
      <c r="L13" s="1" t="s">
        <v>19</v>
      </c>
      <c r="M13" s="1" t="s">
        <v>20</v>
      </c>
      <c r="N13" s="1" t="s">
        <v>19</v>
      </c>
      <c r="P13" s="1" t="s">
        <v>20</v>
      </c>
      <c r="Q13" s="1" t="s">
        <v>20</v>
      </c>
      <c r="R13" s="1" t="s">
        <v>19</v>
      </c>
      <c r="S13" s="1" t="s">
        <v>20</v>
      </c>
      <c r="T13" s="1" t="s">
        <v>20</v>
      </c>
      <c r="U13" s="7" t="n">
        <f aca="false">COUNTIF(E13:T13,"C")</f>
        <v>0</v>
      </c>
      <c r="V13" s="7" t="n">
        <f aca="false">COUNTIF(E13:T13,"P")</f>
        <v>10</v>
      </c>
      <c r="W13" s="7" t="n">
        <f aca="false">COUNTIF(E13:T13,"M")</f>
        <v>0</v>
      </c>
      <c r="X13" s="7" t="n">
        <f aca="false">COUNTIF(E13:T13,"M")</f>
        <v>0</v>
      </c>
      <c r="Y13" s="7" t="n">
        <f aca="false">U13+V13+W13/2+X13/4</f>
        <v>10</v>
      </c>
      <c r="Z13" s="8" t="n">
        <f aca="false">ROUND(Y13*10/$AA$2,0)</f>
        <v>7</v>
      </c>
      <c r="AB13" s="1" t="s">
        <v>20</v>
      </c>
      <c r="AD13" s="1" t="s">
        <v>20</v>
      </c>
      <c r="AE13" s="1" t="s">
        <v>37</v>
      </c>
      <c r="AF13" s="10" t="n">
        <v>0.541666666666667</v>
      </c>
      <c r="AG13" s="1" t="s">
        <v>20</v>
      </c>
      <c r="AI13" s="1" t="s">
        <v>20</v>
      </c>
      <c r="AK13" s="1" t="s">
        <v>20</v>
      </c>
      <c r="AM13" s="1" t="s">
        <v>31</v>
      </c>
      <c r="AN13" s="10" t="n">
        <v>0.548611111111111</v>
      </c>
      <c r="AO13" s="1" t="s">
        <v>19</v>
      </c>
      <c r="AP13" s="1" t="s">
        <v>31</v>
      </c>
      <c r="AQ13" s="10" t="n">
        <v>0.552083333333333</v>
      </c>
      <c r="AR13" s="1" t="s">
        <v>20</v>
      </c>
      <c r="AS13" s="1" t="s">
        <v>31</v>
      </c>
      <c r="AT13" s="10" t="n">
        <v>0.548611111111111</v>
      </c>
      <c r="AU13" s="1" t="s">
        <v>20</v>
      </c>
      <c r="AV13" s="1" t="s">
        <v>31</v>
      </c>
      <c r="AW13" s="10" t="n">
        <v>0.541666666666667</v>
      </c>
      <c r="AX13" s="3" t="s">
        <v>20</v>
      </c>
      <c r="AY13" s="3" t="s">
        <v>20</v>
      </c>
      <c r="AZ13" s="3" t="s">
        <v>19</v>
      </c>
      <c r="BA13" s="3" t="s">
        <v>19</v>
      </c>
      <c r="BC13" s="1" t="s">
        <v>20</v>
      </c>
      <c r="BD13" s="3" t="s">
        <v>20</v>
      </c>
      <c r="BF13" s="3" t="s">
        <v>31</v>
      </c>
      <c r="BG13" s="10" t="n">
        <v>0.552083333333333</v>
      </c>
      <c r="BH13" s="2" t="s">
        <v>31</v>
      </c>
      <c r="BI13" s="2" t="s">
        <v>19</v>
      </c>
      <c r="BJ13" s="2" t="s">
        <v>20</v>
      </c>
      <c r="BL13" s="3" t="n">
        <f aca="false">COUNTIF(AB13:BF13,"P")</f>
        <v>11</v>
      </c>
      <c r="BM13" s="3" t="n">
        <f aca="false">COUNTIF(AB13:BF13,"M")</f>
        <v>1</v>
      </c>
      <c r="BN13" s="3" t="n">
        <f aca="false">COUNTIF(AB13:BF13,"T")</f>
        <v>5</v>
      </c>
      <c r="BO13" s="9" t="n">
        <f aca="false">ROUND((BL13+BM13/2+BN13/4)*0.5,0)</f>
        <v>6</v>
      </c>
    </row>
    <row r="14" customFormat="false" ht="15" hidden="true" customHeight="false" outlineLevel="0" collapsed="false">
      <c r="A14" s="1" t="n">
        <v>12</v>
      </c>
      <c r="B14" s="3" t="s">
        <v>66</v>
      </c>
      <c r="C14" s="3" t="s">
        <v>67</v>
      </c>
      <c r="D14" s="3" t="s">
        <v>68</v>
      </c>
      <c r="E14" s="1" t="s">
        <v>20</v>
      </c>
      <c r="F14" s="1" t="s">
        <v>20</v>
      </c>
      <c r="G14" s="1" t="s">
        <v>20</v>
      </c>
      <c r="H14" s="1" t="s">
        <v>20</v>
      </c>
      <c r="J14" s="1" t="s">
        <v>20</v>
      </c>
      <c r="K14" s="1" t="s">
        <v>20</v>
      </c>
      <c r="L14" s="1" t="s">
        <v>19</v>
      </c>
      <c r="M14" s="1" t="s">
        <v>20</v>
      </c>
      <c r="N14" s="1" t="s">
        <v>20</v>
      </c>
      <c r="P14" s="1" t="s">
        <v>20</v>
      </c>
      <c r="Q14" s="1" t="s">
        <v>20</v>
      </c>
      <c r="R14" s="1" t="s">
        <v>19</v>
      </c>
      <c r="S14" s="1" t="s">
        <v>20</v>
      </c>
      <c r="T14" s="1" t="s">
        <v>20</v>
      </c>
      <c r="U14" s="7" t="n">
        <f aca="false">COUNTIF(E14:T14,"C")</f>
        <v>0</v>
      </c>
      <c r="V14" s="7" t="n">
        <f aca="false">COUNTIF(E14:T14,"P")</f>
        <v>12</v>
      </c>
      <c r="W14" s="7" t="n">
        <f aca="false">COUNTIF(E14:T14,"M")</f>
        <v>0</v>
      </c>
      <c r="X14" s="7" t="n">
        <f aca="false">COUNTIF(E14:T14,"M")</f>
        <v>0</v>
      </c>
      <c r="Y14" s="7" t="n">
        <f aca="false">U14+V14+W14/2+X14/4</f>
        <v>12</v>
      </c>
      <c r="Z14" s="8" t="n">
        <f aca="false">ROUND(Y14*10/$AA$2,0)</f>
        <v>9</v>
      </c>
      <c r="AB14" s="1" t="s">
        <v>20</v>
      </c>
      <c r="AD14" s="1" t="s">
        <v>20</v>
      </c>
      <c r="AE14" s="1" t="s">
        <v>20</v>
      </c>
      <c r="AG14" s="1" t="s">
        <v>20</v>
      </c>
      <c r="AI14" s="1" t="s">
        <v>20</v>
      </c>
      <c r="AJ14" s="1" t="s">
        <v>54</v>
      </c>
      <c r="AK14" s="1" t="s">
        <v>20</v>
      </c>
      <c r="AM14" s="1" t="s">
        <v>20</v>
      </c>
      <c r="AO14" s="1" t="s">
        <v>19</v>
      </c>
      <c r="AP14" s="1" t="s">
        <v>20</v>
      </c>
      <c r="AR14" s="1" t="s">
        <v>20</v>
      </c>
      <c r="AS14" s="1" t="s">
        <v>20</v>
      </c>
      <c r="AU14" s="1" t="s">
        <v>20</v>
      </c>
      <c r="AV14" s="1" t="s">
        <v>20</v>
      </c>
      <c r="AX14" s="3" t="s">
        <v>20</v>
      </c>
      <c r="AY14" s="3" t="s">
        <v>20</v>
      </c>
      <c r="AZ14" s="3" t="s">
        <v>20</v>
      </c>
      <c r="BA14" s="3" t="s">
        <v>20</v>
      </c>
      <c r="BC14" s="1" t="s">
        <v>20</v>
      </c>
      <c r="BD14" s="3" t="s">
        <v>20</v>
      </c>
      <c r="BF14" s="3" t="s">
        <v>20</v>
      </c>
      <c r="BH14" s="2" t="s">
        <v>20</v>
      </c>
      <c r="BI14" s="2" t="s">
        <v>20</v>
      </c>
      <c r="BJ14" s="2" t="s">
        <v>19</v>
      </c>
      <c r="BL14" s="3" t="n">
        <f aca="false">COUNTIF(AB14:BF14,"P")</f>
        <v>19</v>
      </c>
      <c r="BM14" s="3" t="n">
        <f aca="false">COUNTIF(AB14:BF14,"M")</f>
        <v>0</v>
      </c>
      <c r="BN14" s="3" t="n">
        <f aca="false">COUNTIF(AB14:BF14,"T")</f>
        <v>0</v>
      </c>
      <c r="BO14" s="9" t="n">
        <f aca="false">ROUND((BL14+BM14/2+BN14/4)*0.5,0)</f>
        <v>10</v>
      </c>
    </row>
    <row r="15" customFormat="false" ht="15" hidden="true" customHeight="false" outlineLevel="0" collapsed="false">
      <c r="A15" s="1" t="n">
        <v>13</v>
      </c>
      <c r="B15" s="3" t="s">
        <v>69</v>
      </c>
      <c r="C15" s="3" t="s">
        <v>70</v>
      </c>
      <c r="D15" s="3" t="s">
        <v>71</v>
      </c>
      <c r="E15" s="1" t="s">
        <v>20</v>
      </c>
      <c r="F15" s="1" t="s">
        <v>20</v>
      </c>
      <c r="G15" s="1" t="s">
        <v>19</v>
      </c>
      <c r="H15" s="1" t="s">
        <v>20</v>
      </c>
      <c r="J15" s="1" t="s">
        <v>20</v>
      </c>
      <c r="K15" s="1" t="s">
        <v>20</v>
      </c>
      <c r="L15" s="1" t="s">
        <v>19</v>
      </c>
      <c r="M15" s="1" t="s">
        <v>20</v>
      </c>
      <c r="N15" s="1" t="s">
        <v>20</v>
      </c>
      <c r="P15" s="1" t="s">
        <v>20</v>
      </c>
      <c r="Q15" s="1" t="s">
        <v>20</v>
      </c>
      <c r="R15" s="1" t="s">
        <v>19</v>
      </c>
      <c r="S15" s="1" t="s">
        <v>20</v>
      </c>
      <c r="T15" s="1" t="s">
        <v>20</v>
      </c>
      <c r="U15" s="7" t="n">
        <f aca="false">COUNTIF(E15:T15,"C")</f>
        <v>0</v>
      </c>
      <c r="V15" s="7" t="n">
        <f aca="false">COUNTIF(E15:T15,"P")</f>
        <v>11</v>
      </c>
      <c r="W15" s="7" t="n">
        <f aca="false">COUNTIF(E15:T15,"M")</f>
        <v>0</v>
      </c>
      <c r="X15" s="7" t="n">
        <f aca="false">COUNTIF(E15:T15,"M")</f>
        <v>0</v>
      </c>
      <c r="Y15" s="7" t="n">
        <f aca="false">U15+V15+W15/2+X15/4</f>
        <v>11</v>
      </c>
      <c r="Z15" s="8" t="n">
        <f aca="false">ROUND(Y15*10/$AA$2,0)</f>
        <v>8</v>
      </c>
      <c r="AB15" s="1" t="s">
        <v>19</v>
      </c>
      <c r="AD15" s="1" t="s">
        <v>19</v>
      </c>
      <c r="AE15" s="1" t="s">
        <v>20</v>
      </c>
      <c r="AG15" s="1" t="s">
        <v>20</v>
      </c>
      <c r="AI15" s="1" t="s">
        <v>20</v>
      </c>
      <c r="AJ15" s="1" t="s">
        <v>29</v>
      </c>
      <c r="AK15" s="1" t="s">
        <v>20</v>
      </c>
      <c r="AM15" s="1" t="s">
        <v>20</v>
      </c>
      <c r="AO15" s="1" t="s">
        <v>19</v>
      </c>
      <c r="AP15" s="1" t="s">
        <v>20</v>
      </c>
      <c r="AR15" s="1" t="s">
        <v>20</v>
      </c>
      <c r="AS15" s="1" t="s">
        <v>20</v>
      </c>
      <c r="AU15" s="1" t="s">
        <v>20</v>
      </c>
      <c r="AV15" s="1" t="s">
        <v>20</v>
      </c>
      <c r="AX15" s="3" t="s">
        <v>20</v>
      </c>
      <c r="AY15" s="3" t="s">
        <v>20</v>
      </c>
      <c r="AZ15" s="3" t="s">
        <v>20</v>
      </c>
      <c r="BA15" s="3" t="s">
        <v>20</v>
      </c>
      <c r="BC15" s="1" t="s">
        <v>20</v>
      </c>
      <c r="BD15" s="3" t="s">
        <v>20</v>
      </c>
      <c r="BF15" s="3" t="s">
        <v>20</v>
      </c>
      <c r="BH15" s="2" t="s">
        <v>20</v>
      </c>
      <c r="BI15" s="2" t="s">
        <v>19</v>
      </c>
      <c r="BJ15" s="2" t="s">
        <v>20</v>
      </c>
      <c r="BL15" s="3" t="n">
        <f aca="false">COUNTIF(AB15:BF15,"P")</f>
        <v>17</v>
      </c>
      <c r="BM15" s="3" t="n">
        <f aca="false">COUNTIF(AB15:BF15,"M")</f>
        <v>0</v>
      </c>
      <c r="BN15" s="3" t="n">
        <f aca="false">COUNTIF(AB15:BF15,"T")</f>
        <v>0</v>
      </c>
      <c r="BO15" s="9" t="n">
        <f aca="false">ROUND((BL15+BM15/2+BN15/4)*0.5,0)</f>
        <v>9</v>
      </c>
    </row>
    <row r="16" customFormat="false" ht="15" hidden="true" customHeight="false" outlineLevel="0" collapsed="false">
      <c r="A16" s="1" t="n">
        <v>14</v>
      </c>
      <c r="B16" s="3" t="s">
        <v>72</v>
      </c>
      <c r="C16" s="3" t="s">
        <v>73</v>
      </c>
      <c r="D16" s="3" t="s">
        <v>74</v>
      </c>
      <c r="E16" s="1" t="s">
        <v>20</v>
      </c>
      <c r="F16" s="1" t="s">
        <v>20</v>
      </c>
      <c r="G16" s="1" t="s">
        <v>19</v>
      </c>
      <c r="H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52</v>
      </c>
      <c r="P16" s="1" t="s">
        <v>20</v>
      </c>
      <c r="Q16" s="1" t="s">
        <v>20</v>
      </c>
      <c r="R16" s="1" t="s">
        <v>20</v>
      </c>
      <c r="S16" s="1" t="s">
        <v>20</v>
      </c>
      <c r="T16" s="1" t="s">
        <v>20</v>
      </c>
      <c r="U16" s="7" t="n">
        <f aca="false">COUNTIF(E16:T16,"C")</f>
        <v>1</v>
      </c>
      <c r="V16" s="7" t="n">
        <f aca="false">COUNTIF(E16:T16,"P")</f>
        <v>12</v>
      </c>
      <c r="W16" s="7" t="n">
        <f aca="false">COUNTIF(E16:T16,"M")</f>
        <v>0</v>
      </c>
      <c r="X16" s="7" t="n">
        <f aca="false">COUNTIF(E16:T16,"M")</f>
        <v>0</v>
      </c>
      <c r="Y16" s="7" t="n">
        <f aca="false">U16+V16+W16/2+X16/4</f>
        <v>13</v>
      </c>
      <c r="Z16" s="8" t="n">
        <f aca="false">ROUND(Y16*10/$AA$2,0)</f>
        <v>9</v>
      </c>
      <c r="AB16" s="1" t="s">
        <v>20</v>
      </c>
      <c r="AD16" s="1" t="s">
        <v>20</v>
      </c>
      <c r="AE16" s="1" t="s">
        <v>20</v>
      </c>
      <c r="AG16" s="1" t="s">
        <v>20</v>
      </c>
      <c r="AH16" s="1" t="n">
        <v>1</v>
      </c>
      <c r="AI16" s="1" t="s">
        <v>20</v>
      </c>
      <c r="AJ16" s="1" t="s">
        <v>75</v>
      </c>
      <c r="AK16" s="1" t="s">
        <v>20</v>
      </c>
      <c r="AM16" s="1" t="s">
        <v>20</v>
      </c>
      <c r="AO16" s="1" t="s">
        <v>20</v>
      </c>
      <c r="AP16" s="1" t="s">
        <v>20</v>
      </c>
      <c r="AQ16" s="1" t="s">
        <v>30</v>
      </c>
      <c r="AR16" s="1" t="s">
        <v>20</v>
      </c>
      <c r="AS16" s="1" t="s">
        <v>20</v>
      </c>
      <c r="AU16" s="1" t="s">
        <v>20</v>
      </c>
      <c r="AV16" s="1" t="s">
        <v>20</v>
      </c>
      <c r="AX16" s="3" t="s">
        <v>20</v>
      </c>
      <c r="AY16" s="3" t="s">
        <v>38</v>
      </c>
      <c r="AZ16" s="3" t="s">
        <v>20</v>
      </c>
      <c r="BA16" s="3" t="s">
        <v>20</v>
      </c>
      <c r="BC16" s="1" t="s">
        <v>20</v>
      </c>
      <c r="BD16" s="3" t="s">
        <v>20</v>
      </c>
      <c r="BF16" s="3" t="s">
        <v>20</v>
      </c>
      <c r="BH16" s="2" t="s">
        <v>20</v>
      </c>
      <c r="BI16" s="2" t="s">
        <v>20</v>
      </c>
      <c r="BJ16" s="2" t="s">
        <v>20</v>
      </c>
      <c r="BL16" s="3" t="n">
        <f aca="false">COUNTIF(AB16:BF16,"P")</f>
        <v>19</v>
      </c>
      <c r="BM16" s="3" t="n">
        <f aca="false">COUNTIF(AB16:BF16,"M")</f>
        <v>0</v>
      </c>
      <c r="BN16" s="3" t="n">
        <f aca="false">COUNTIF(AB16:BF16,"T")</f>
        <v>0</v>
      </c>
      <c r="BO16" s="9" t="n">
        <f aca="false">ROUND((BL16+BM16/2+BN16/4)*0.5,0)</f>
        <v>10</v>
      </c>
    </row>
    <row r="17" s="11" customFormat="true" ht="15" hidden="false" customHeight="false" outlineLevel="0" collapsed="false">
      <c r="A17" s="2" t="n">
        <v>15</v>
      </c>
      <c r="B17" s="11" t="s">
        <v>76</v>
      </c>
      <c r="C17" s="11" t="s">
        <v>77</v>
      </c>
      <c r="D17" s="11" t="s">
        <v>78</v>
      </c>
      <c r="E17" s="2" t="s">
        <v>19</v>
      </c>
      <c r="F17" s="2" t="s">
        <v>20</v>
      </c>
      <c r="G17" s="2" t="s">
        <v>19</v>
      </c>
      <c r="H17" s="2" t="s">
        <v>20</v>
      </c>
      <c r="I17" s="2"/>
      <c r="J17" s="2" t="s">
        <v>20</v>
      </c>
      <c r="K17" s="2" t="s">
        <v>19</v>
      </c>
      <c r="L17" s="2" t="s">
        <v>19</v>
      </c>
      <c r="M17" s="2" t="s">
        <v>20</v>
      </c>
      <c r="N17" s="2" t="s">
        <v>20</v>
      </c>
      <c r="O17" s="2"/>
      <c r="P17" s="2" t="s">
        <v>20</v>
      </c>
      <c r="Q17" s="2" t="s">
        <v>19</v>
      </c>
      <c r="R17" s="2" t="s">
        <v>19</v>
      </c>
      <c r="S17" s="2" t="s">
        <v>20</v>
      </c>
      <c r="T17" s="2" t="s">
        <v>20</v>
      </c>
      <c r="U17" s="12" t="n">
        <f aca="false">COUNTIF(E17:T17,"C")</f>
        <v>0</v>
      </c>
      <c r="V17" s="12" t="n">
        <f aca="false">COUNTIF(E17:T17,"P")</f>
        <v>8</v>
      </c>
      <c r="W17" s="12" t="n">
        <f aca="false">COUNTIF(E17:T17,"M")</f>
        <v>0</v>
      </c>
      <c r="X17" s="12" t="n">
        <f aca="false">COUNTIF(E17:T17,"M")</f>
        <v>0</v>
      </c>
      <c r="Y17" s="12" t="n">
        <f aca="false">U17+V17+W17/2+X17/4</f>
        <v>8</v>
      </c>
      <c r="Z17" s="13" t="n">
        <f aca="false">ROUND(Y17*10/$AA$2,0)</f>
        <v>6</v>
      </c>
      <c r="AA17" s="2"/>
      <c r="AB17" s="2" t="s">
        <v>20</v>
      </c>
      <c r="AC17" s="2"/>
      <c r="AD17" s="2" t="s">
        <v>20</v>
      </c>
      <c r="AE17" s="2" t="s">
        <v>20</v>
      </c>
      <c r="AF17" s="2"/>
      <c r="AG17" s="2" t="s">
        <v>20</v>
      </c>
      <c r="AH17" s="2"/>
      <c r="AI17" s="2" t="s">
        <v>20</v>
      </c>
      <c r="AJ17" s="2" t="s">
        <v>79</v>
      </c>
      <c r="AK17" s="2" t="s">
        <v>20</v>
      </c>
      <c r="AL17" s="2"/>
      <c r="AM17" s="2" t="s">
        <v>19</v>
      </c>
      <c r="AN17" s="2"/>
      <c r="AO17" s="2" t="s">
        <v>20</v>
      </c>
      <c r="AP17" s="2" t="s">
        <v>20</v>
      </c>
      <c r="AQ17" s="2" t="s">
        <v>25</v>
      </c>
      <c r="AR17" s="2" t="s">
        <v>20</v>
      </c>
      <c r="AS17" s="2" t="s">
        <v>20</v>
      </c>
      <c r="AT17" s="2"/>
      <c r="AU17" s="2" t="s">
        <v>19</v>
      </c>
      <c r="AV17" s="2" t="s">
        <v>20</v>
      </c>
      <c r="AW17" s="2"/>
      <c r="AX17" s="11" t="s">
        <v>20</v>
      </c>
      <c r="AY17" s="11" t="s">
        <v>19</v>
      </c>
      <c r="AZ17" s="11" t="s">
        <v>19</v>
      </c>
      <c r="BA17" s="11" t="s">
        <v>19</v>
      </c>
      <c r="BB17" s="2"/>
      <c r="BC17" s="2" t="s">
        <v>20</v>
      </c>
      <c r="BD17" s="11" t="s">
        <v>20</v>
      </c>
      <c r="BE17" s="2"/>
      <c r="BF17" s="11" t="s">
        <v>20</v>
      </c>
      <c r="BG17" s="2"/>
      <c r="BH17" s="2" t="s">
        <v>20</v>
      </c>
      <c r="BI17" s="2" t="s">
        <v>20</v>
      </c>
      <c r="BJ17" s="2" t="s">
        <v>20</v>
      </c>
      <c r="BK17" s="2"/>
      <c r="BL17" s="11" t="n">
        <f aca="false">COUNTIF(AB17:BF17,"P")</f>
        <v>15</v>
      </c>
      <c r="BM17" s="11" t="n">
        <f aca="false">COUNTIF(AB17:BF17,"M")</f>
        <v>0</v>
      </c>
      <c r="BN17" s="11" t="n">
        <f aca="false">COUNTIF(AB17:BF17,"T")</f>
        <v>0</v>
      </c>
      <c r="BO17" s="15" t="n">
        <f aca="false">ROUND((BL17+BM17/2+BN17/4)*0.5,0)</f>
        <v>8</v>
      </c>
      <c r="BP17" s="11" t="s">
        <v>20</v>
      </c>
      <c r="BQ17" s="11" t="s">
        <v>20</v>
      </c>
      <c r="BR17" s="11" t="s">
        <v>20</v>
      </c>
      <c r="BS17" s="11" t="s">
        <v>20</v>
      </c>
    </row>
    <row r="18" customFormat="false" ht="15" hidden="true" customHeight="false" outlineLevel="0" collapsed="false">
      <c r="A18" s="1" t="n">
        <v>16</v>
      </c>
      <c r="B18" s="3" t="s">
        <v>80</v>
      </c>
      <c r="C18" s="3" t="s">
        <v>81</v>
      </c>
      <c r="D18" s="3" t="s">
        <v>82</v>
      </c>
      <c r="E18" s="1" t="s">
        <v>20</v>
      </c>
      <c r="F18" s="1" t="s">
        <v>20</v>
      </c>
      <c r="G18" s="1" t="s">
        <v>20</v>
      </c>
      <c r="H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19</v>
      </c>
      <c r="P18" s="1" t="s">
        <v>19</v>
      </c>
      <c r="Q18" s="1" t="s">
        <v>20</v>
      </c>
      <c r="R18" s="1" t="s">
        <v>20</v>
      </c>
      <c r="S18" s="1" t="s">
        <v>20</v>
      </c>
      <c r="T18" s="1" t="s">
        <v>20</v>
      </c>
      <c r="U18" s="7" t="n">
        <f aca="false">COUNTIF(E18:T18,"C")</f>
        <v>0</v>
      </c>
      <c r="V18" s="7" t="n">
        <f aca="false">COUNTIF(E18:T18,"P")</f>
        <v>12</v>
      </c>
      <c r="W18" s="7" t="n">
        <f aca="false">COUNTIF(E18:T18,"M")</f>
        <v>0</v>
      </c>
      <c r="X18" s="7" t="n">
        <f aca="false">COUNTIF(E18:T18,"M")</f>
        <v>0</v>
      </c>
      <c r="Y18" s="7" t="n">
        <f aca="false">U18+V18+W18/2+X18/4</f>
        <v>12</v>
      </c>
      <c r="Z18" s="8" t="n">
        <f aca="false">ROUND(Y18*10/$AA$2,0)</f>
        <v>9</v>
      </c>
      <c r="AB18" s="1" t="s">
        <v>31</v>
      </c>
      <c r="AC18" s="10" t="n">
        <v>0.548611111111111</v>
      </c>
      <c r="AD18" s="1" t="s">
        <v>20</v>
      </c>
      <c r="AE18" s="1" t="s">
        <v>20</v>
      </c>
      <c r="AG18" s="1" t="s">
        <v>20</v>
      </c>
      <c r="AI18" s="1" t="s">
        <v>20</v>
      </c>
      <c r="AK18" s="1" t="s">
        <v>20</v>
      </c>
      <c r="AM18" s="1" t="s">
        <v>20</v>
      </c>
      <c r="AO18" s="1" t="s">
        <v>20</v>
      </c>
      <c r="AP18" s="1" t="s">
        <v>20</v>
      </c>
      <c r="AR18" s="1" t="s">
        <v>20</v>
      </c>
      <c r="AS18" s="1" t="s">
        <v>20</v>
      </c>
      <c r="AU18" s="1" t="s">
        <v>20</v>
      </c>
      <c r="AV18" s="1" t="s">
        <v>31</v>
      </c>
      <c r="AW18" s="10" t="n">
        <v>0.541666666666667</v>
      </c>
      <c r="AX18" s="3" t="s">
        <v>20</v>
      </c>
      <c r="AY18" s="3" t="s">
        <v>20</v>
      </c>
      <c r="AZ18" s="3" t="s">
        <v>20</v>
      </c>
      <c r="BA18" s="3" t="s">
        <v>20</v>
      </c>
      <c r="BC18" s="1" t="s">
        <v>20</v>
      </c>
      <c r="BD18" s="3" t="s">
        <v>20</v>
      </c>
      <c r="BF18" s="3" t="s">
        <v>20</v>
      </c>
      <c r="BH18" s="2" t="s">
        <v>20</v>
      </c>
      <c r="BI18" s="2" t="s">
        <v>20</v>
      </c>
      <c r="BJ18" s="2" t="s">
        <v>20</v>
      </c>
      <c r="BL18" s="3" t="n">
        <f aca="false">COUNTIF(AB18:BF18,"P")</f>
        <v>18</v>
      </c>
      <c r="BM18" s="3" t="n">
        <f aca="false">COUNTIF(AB18:BF18,"M")</f>
        <v>0</v>
      </c>
      <c r="BN18" s="3" t="n">
        <f aca="false">COUNTIF(AB18:BF18,"T")</f>
        <v>2</v>
      </c>
      <c r="BO18" s="9" t="n">
        <f aca="false">ROUND((BL18+BM18/2+BN18/4)*0.5,0)</f>
        <v>9</v>
      </c>
    </row>
    <row r="19" s="11" customFormat="true" ht="15" hidden="false" customHeight="false" outlineLevel="0" collapsed="false">
      <c r="A19" s="2" t="n">
        <v>17</v>
      </c>
      <c r="B19" s="11" t="s">
        <v>83</v>
      </c>
      <c r="C19" s="11" t="s">
        <v>84</v>
      </c>
      <c r="D19" s="11" t="s">
        <v>85</v>
      </c>
      <c r="E19" s="2" t="s">
        <v>20</v>
      </c>
      <c r="F19" s="2" t="s">
        <v>20</v>
      </c>
      <c r="G19" s="2" t="s">
        <v>19</v>
      </c>
      <c r="H19" s="2" t="s">
        <v>20</v>
      </c>
      <c r="I19" s="2"/>
      <c r="J19" s="2" t="s">
        <v>20</v>
      </c>
      <c r="K19" s="2" t="s">
        <v>20</v>
      </c>
      <c r="L19" s="2" t="s">
        <v>19</v>
      </c>
      <c r="M19" s="2" t="s">
        <v>20</v>
      </c>
      <c r="N19" s="2" t="s">
        <v>20</v>
      </c>
      <c r="O19" s="2"/>
      <c r="P19" s="2" t="s">
        <v>20</v>
      </c>
      <c r="Q19" s="2" t="s">
        <v>20</v>
      </c>
      <c r="R19" s="2" t="s">
        <v>19</v>
      </c>
      <c r="S19" s="2" t="s">
        <v>20</v>
      </c>
      <c r="T19" s="2" t="s">
        <v>19</v>
      </c>
      <c r="U19" s="12" t="n">
        <f aca="false">COUNTIF(E19:T19,"C")</f>
        <v>0</v>
      </c>
      <c r="V19" s="12" t="n">
        <f aca="false">COUNTIF(E19:T19,"P")</f>
        <v>10</v>
      </c>
      <c r="W19" s="12" t="n">
        <f aca="false">COUNTIF(E19:T19,"M")</f>
        <v>0</v>
      </c>
      <c r="X19" s="12" t="n">
        <f aca="false">COUNTIF(E19:T19,"M")</f>
        <v>0</v>
      </c>
      <c r="Y19" s="12" t="n">
        <f aca="false">U19+V19+W19/2+X19/4</f>
        <v>10</v>
      </c>
      <c r="Z19" s="13" t="n">
        <f aca="false">ROUND(Y19*10/$AA$2,0)</f>
        <v>7</v>
      </c>
      <c r="AA19" s="2"/>
      <c r="AB19" s="2" t="s">
        <v>19</v>
      </c>
      <c r="AC19" s="2"/>
      <c r="AD19" s="2" t="s">
        <v>19</v>
      </c>
      <c r="AE19" s="2" t="s">
        <v>20</v>
      </c>
      <c r="AF19" s="2"/>
      <c r="AG19" s="2" t="s">
        <v>20</v>
      </c>
      <c r="AH19" s="2"/>
      <c r="AI19" s="2" t="s">
        <v>20</v>
      </c>
      <c r="AJ19" s="2" t="s">
        <v>35</v>
      </c>
      <c r="AK19" s="2" t="s">
        <v>20</v>
      </c>
      <c r="AL19" s="2"/>
      <c r="AM19" s="2" t="s">
        <v>20</v>
      </c>
      <c r="AN19" s="2"/>
      <c r="AO19" s="2" t="s">
        <v>19</v>
      </c>
      <c r="AP19" s="2" t="s">
        <v>20</v>
      </c>
      <c r="AQ19" s="2"/>
      <c r="AR19" s="2" t="s">
        <v>20</v>
      </c>
      <c r="AS19" s="2" t="s">
        <v>20</v>
      </c>
      <c r="AT19" s="2"/>
      <c r="AU19" s="2" t="s">
        <v>20</v>
      </c>
      <c r="AV19" s="2" t="s">
        <v>20</v>
      </c>
      <c r="AW19" s="2"/>
      <c r="AX19" s="11" t="s">
        <v>20</v>
      </c>
      <c r="AY19" s="11" t="s">
        <v>20</v>
      </c>
      <c r="AZ19" s="11" t="s">
        <v>20</v>
      </c>
      <c r="BA19" s="11" t="s">
        <v>20</v>
      </c>
      <c r="BB19" s="2"/>
      <c r="BC19" s="2" t="s">
        <v>20</v>
      </c>
      <c r="BD19" s="11" t="s">
        <v>20</v>
      </c>
      <c r="BE19" s="2"/>
      <c r="BF19" s="11" t="s">
        <v>20</v>
      </c>
      <c r="BG19" s="2"/>
      <c r="BH19" s="2" t="s">
        <v>20</v>
      </c>
      <c r="BI19" s="2" t="s">
        <v>31</v>
      </c>
      <c r="BJ19" s="2" t="s">
        <v>20</v>
      </c>
      <c r="BK19" s="14" t="n">
        <v>0.548611111111111</v>
      </c>
      <c r="BL19" s="11" t="n">
        <f aca="false">COUNTIF(AB19:BF19,"P")</f>
        <v>17</v>
      </c>
      <c r="BM19" s="11" t="n">
        <f aca="false">COUNTIF(AB19:BF19,"M")</f>
        <v>0</v>
      </c>
      <c r="BN19" s="11" t="n">
        <f aca="false">COUNTIF(AB19:BF19,"T")</f>
        <v>0</v>
      </c>
      <c r="BO19" s="15" t="n">
        <f aca="false">ROUND((BL19+BM19/2+BN19/4)*0.5,0)</f>
        <v>9</v>
      </c>
      <c r="BP19" s="11" t="s">
        <v>19</v>
      </c>
      <c r="BQ19" s="11" t="s">
        <v>20</v>
      </c>
      <c r="BR19" s="11" t="s">
        <v>19</v>
      </c>
      <c r="BS19" s="11" t="s">
        <v>20</v>
      </c>
    </row>
    <row r="20" customFormat="false" ht="15" hidden="true" customHeight="false" outlineLevel="0" collapsed="false">
      <c r="A20" s="1" t="n">
        <v>18</v>
      </c>
      <c r="B20" s="3" t="s">
        <v>86</v>
      </c>
      <c r="C20" s="3" t="s">
        <v>87</v>
      </c>
      <c r="D20" s="3" t="s">
        <v>88</v>
      </c>
      <c r="E20" s="1" t="s">
        <v>20</v>
      </c>
      <c r="F20" s="1" t="s">
        <v>20</v>
      </c>
      <c r="G20" s="1" t="s">
        <v>20</v>
      </c>
      <c r="H20" s="1" t="s">
        <v>20</v>
      </c>
      <c r="J20" s="1" t="s">
        <v>20</v>
      </c>
      <c r="K20" s="1" t="s">
        <v>20</v>
      </c>
      <c r="L20" s="1" t="s">
        <v>19</v>
      </c>
      <c r="M20" s="1" t="s">
        <v>20</v>
      </c>
      <c r="N20" s="1" t="s">
        <v>20</v>
      </c>
      <c r="P20" s="1" t="s">
        <v>20</v>
      </c>
      <c r="Q20" s="1" t="s">
        <v>20</v>
      </c>
      <c r="R20" s="1" t="s">
        <v>19</v>
      </c>
      <c r="S20" s="1" t="s">
        <v>20</v>
      </c>
      <c r="T20" s="1" t="s">
        <v>20</v>
      </c>
      <c r="U20" s="7" t="n">
        <f aca="false">COUNTIF(E20:T20,"C")</f>
        <v>0</v>
      </c>
      <c r="V20" s="7" t="n">
        <f aca="false">COUNTIF(E20:T20,"P")</f>
        <v>12</v>
      </c>
      <c r="W20" s="7" t="n">
        <f aca="false">COUNTIF(E20:T20,"M")</f>
        <v>0</v>
      </c>
      <c r="X20" s="7" t="n">
        <f aca="false">COUNTIF(E20:T20,"M")</f>
        <v>0</v>
      </c>
      <c r="Y20" s="7" t="n">
        <f aca="false">U20+V20+W20/2+X20/4</f>
        <v>12</v>
      </c>
      <c r="Z20" s="8" t="n">
        <f aca="false">ROUND(Y20*10/$AA$2,0)</f>
        <v>9</v>
      </c>
      <c r="AB20" s="1" t="s">
        <v>20</v>
      </c>
      <c r="AD20" s="1" t="s">
        <v>19</v>
      </c>
      <c r="AE20" s="1" t="s">
        <v>20</v>
      </c>
      <c r="AG20" s="1" t="s">
        <v>20</v>
      </c>
      <c r="AI20" s="1" t="s">
        <v>20</v>
      </c>
      <c r="AJ20" s="1" t="s">
        <v>54</v>
      </c>
      <c r="AK20" s="1" t="s">
        <v>20</v>
      </c>
      <c r="AM20" s="1" t="s">
        <v>20</v>
      </c>
      <c r="AO20" s="1" t="s">
        <v>19</v>
      </c>
      <c r="AP20" s="1" t="s">
        <v>20</v>
      </c>
      <c r="AR20" s="1" t="s">
        <v>20</v>
      </c>
      <c r="AS20" s="1" t="s">
        <v>20</v>
      </c>
      <c r="AU20" s="1" t="s">
        <v>20</v>
      </c>
      <c r="AV20" s="1" t="s">
        <v>20</v>
      </c>
      <c r="AX20" s="3" t="s">
        <v>20</v>
      </c>
      <c r="AY20" s="3" t="s">
        <v>20</v>
      </c>
      <c r="AZ20" s="3" t="s">
        <v>20</v>
      </c>
      <c r="BA20" s="3" t="s">
        <v>20</v>
      </c>
      <c r="BC20" s="1" t="s">
        <v>20</v>
      </c>
      <c r="BD20" s="3" t="s">
        <v>20</v>
      </c>
      <c r="BF20" s="3" t="s">
        <v>20</v>
      </c>
      <c r="BH20" s="2" t="s">
        <v>20</v>
      </c>
      <c r="BI20" s="2" t="s">
        <v>20</v>
      </c>
      <c r="BJ20" s="2" t="s">
        <v>20</v>
      </c>
      <c r="BL20" s="3" t="n">
        <f aca="false">COUNTIF(AB20:BF20,"P")</f>
        <v>18</v>
      </c>
      <c r="BM20" s="3" t="n">
        <f aca="false">COUNTIF(AB20:BF20,"M")</f>
        <v>0</v>
      </c>
      <c r="BN20" s="3" t="n">
        <f aca="false">COUNTIF(AB20:BF20,"T")</f>
        <v>0</v>
      </c>
      <c r="BO20" s="9" t="n">
        <f aca="false">ROUND((BL20+BM20/2+BN20/4)*0.5,0)</f>
        <v>9</v>
      </c>
    </row>
    <row r="21" customFormat="false" ht="15" hidden="true" customHeight="false" outlineLevel="0" collapsed="false">
      <c r="A21" s="1" t="n">
        <v>19</v>
      </c>
      <c r="B21" s="3" t="s">
        <v>89</v>
      </c>
      <c r="C21" s="3" t="s">
        <v>90</v>
      </c>
      <c r="D21" s="3" t="s">
        <v>91</v>
      </c>
      <c r="E21" s="1" t="s">
        <v>20</v>
      </c>
      <c r="F21" s="1" t="s">
        <v>20</v>
      </c>
      <c r="G21" s="1" t="s">
        <v>19</v>
      </c>
      <c r="H21" s="1" t="s">
        <v>20</v>
      </c>
      <c r="J21" s="1" t="s">
        <v>20</v>
      </c>
      <c r="K21" s="1" t="s">
        <v>20</v>
      </c>
      <c r="L21" s="1" t="s">
        <v>20</v>
      </c>
      <c r="M21" s="1" t="s">
        <v>19</v>
      </c>
      <c r="N21" s="1" t="s">
        <v>20</v>
      </c>
      <c r="P21" s="1" t="s">
        <v>20</v>
      </c>
      <c r="Q21" s="1" t="s">
        <v>20</v>
      </c>
      <c r="R21" s="1" t="s">
        <v>19</v>
      </c>
      <c r="S21" s="1" t="s">
        <v>20</v>
      </c>
      <c r="T21" s="1" t="s">
        <v>19</v>
      </c>
      <c r="U21" s="7" t="n">
        <f aca="false">COUNTIF(E21:T21,"C")</f>
        <v>0</v>
      </c>
      <c r="V21" s="7" t="n">
        <f aca="false">COUNTIF(E21:T21,"P")</f>
        <v>10</v>
      </c>
      <c r="W21" s="7" t="n">
        <f aca="false">COUNTIF(E21:T21,"M")</f>
        <v>0</v>
      </c>
      <c r="X21" s="7" t="n">
        <f aca="false">COUNTIF(E21:T21,"M")</f>
        <v>0</v>
      </c>
      <c r="Y21" s="7" t="n">
        <f aca="false">U21+V21+W21/2+X21/4</f>
        <v>10</v>
      </c>
      <c r="Z21" s="8" t="n">
        <f aca="false">ROUND(Y21*10/$AA$2,0)</f>
        <v>7</v>
      </c>
      <c r="AB21" s="1" t="s">
        <v>20</v>
      </c>
      <c r="AD21" s="1" t="s">
        <v>20</v>
      </c>
      <c r="AE21" s="1" t="s">
        <v>20</v>
      </c>
      <c r="AG21" s="1" t="s">
        <v>20</v>
      </c>
      <c r="AI21" s="1" t="s">
        <v>20</v>
      </c>
      <c r="AJ21" s="1" t="s">
        <v>62</v>
      </c>
      <c r="AK21" s="1" t="s">
        <v>20</v>
      </c>
      <c r="AM21" s="1" t="s">
        <v>20</v>
      </c>
      <c r="AO21" s="1" t="s">
        <v>19</v>
      </c>
      <c r="AP21" s="1" t="s">
        <v>20</v>
      </c>
      <c r="AR21" s="1" t="s">
        <v>20</v>
      </c>
      <c r="AS21" s="1" t="s">
        <v>20</v>
      </c>
      <c r="AU21" s="1" t="s">
        <v>20</v>
      </c>
      <c r="AV21" s="1" t="s">
        <v>31</v>
      </c>
      <c r="AW21" s="10" t="n">
        <v>0.541666666666667</v>
      </c>
      <c r="AX21" s="3" t="s">
        <v>19</v>
      </c>
      <c r="AY21" s="3" t="s">
        <v>20</v>
      </c>
      <c r="AZ21" s="3" t="s">
        <v>19</v>
      </c>
      <c r="BA21" s="3" t="s">
        <v>20</v>
      </c>
      <c r="BC21" s="1" t="s">
        <v>20</v>
      </c>
      <c r="BD21" s="3" t="s">
        <v>20</v>
      </c>
      <c r="BF21" s="3" t="s">
        <v>20</v>
      </c>
      <c r="BH21" s="2" t="s">
        <v>20</v>
      </c>
      <c r="BI21" s="2" t="s">
        <v>20</v>
      </c>
      <c r="BJ21" s="2" t="s">
        <v>20</v>
      </c>
      <c r="BL21" s="3" t="n">
        <f aca="false">COUNTIF(AB21:BF21,"P")</f>
        <v>16</v>
      </c>
      <c r="BM21" s="3" t="n">
        <f aca="false">COUNTIF(AB21:BF21,"M")</f>
        <v>0</v>
      </c>
      <c r="BN21" s="3" t="n">
        <f aca="false">COUNTIF(AB21:BF21,"T")</f>
        <v>1</v>
      </c>
      <c r="BO21" s="9" t="n">
        <f aca="false">ROUND((BL21+BM21/2+BN21/4)*0.5,0)</f>
        <v>8</v>
      </c>
    </row>
    <row r="22" customFormat="false" ht="15" hidden="true" customHeight="false" outlineLevel="0" collapsed="false">
      <c r="A22" s="1" t="n">
        <v>20</v>
      </c>
      <c r="B22" s="3" t="s">
        <v>92</v>
      </c>
      <c r="C22" s="3" t="s">
        <v>93</v>
      </c>
      <c r="D22" s="3" t="s">
        <v>94</v>
      </c>
      <c r="E22" s="1" t="s">
        <v>20</v>
      </c>
      <c r="F22" s="1" t="s">
        <v>20</v>
      </c>
      <c r="G22" s="1" t="s">
        <v>20</v>
      </c>
      <c r="H22" s="1" t="s">
        <v>37</v>
      </c>
      <c r="I22" s="10" t="n">
        <v>0.545833333333333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P22" s="1" t="s">
        <v>20</v>
      </c>
      <c r="Q22" s="1" t="s">
        <v>20</v>
      </c>
      <c r="R22" s="1" t="s">
        <v>19</v>
      </c>
      <c r="S22" s="1" t="s">
        <v>20</v>
      </c>
      <c r="T22" s="1" t="s">
        <v>20</v>
      </c>
      <c r="U22" s="7" t="n">
        <f aca="false">COUNTIF(E22:T22,"C")</f>
        <v>0</v>
      </c>
      <c r="V22" s="7" t="n">
        <f aca="false">COUNTIF(E22:T22,"P")</f>
        <v>12</v>
      </c>
      <c r="W22" s="7" t="n">
        <f aca="false">COUNTIF(E22:T22,"M")</f>
        <v>1</v>
      </c>
      <c r="X22" s="7" t="n">
        <f aca="false">COUNTIF(E22:T22,"M")</f>
        <v>1</v>
      </c>
      <c r="Y22" s="7" t="n">
        <f aca="false">U22+V22+W22/2+X22/4</f>
        <v>12.75</v>
      </c>
      <c r="Z22" s="8" t="n">
        <f aca="false">ROUND(Y22*10/$AA$2,0)</f>
        <v>9</v>
      </c>
      <c r="AB22" s="1" t="s">
        <v>31</v>
      </c>
      <c r="AC22" s="10" t="n">
        <v>0.548611111111111</v>
      </c>
      <c r="AD22" s="1" t="s">
        <v>20</v>
      </c>
      <c r="AE22" s="1" t="s">
        <v>20</v>
      </c>
      <c r="AG22" s="1" t="s">
        <v>20</v>
      </c>
      <c r="AI22" s="1" t="s">
        <v>20</v>
      </c>
      <c r="AK22" s="1" t="s">
        <v>19</v>
      </c>
      <c r="AM22" s="1" t="s">
        <v>20</v>
      </c>
      <c r="AO22" s="1" t="s">
        <v>20</v>
      </c>
      <c r="AP22" s="1" t="s">
        <v>19</v>
      </c>
      <c r="AR22" s="1" t="s">
        <v>20</v>
      </c>
      <c r="AS22" s="1" t="s">
        <v>20</v>
      </c>
      <c r="AU22" s="1" t="s">
        <v>20</v>
      </c>
      <c r="AV22" s="1" t="s">
        <v>31</v>
      </c>
      <c r="AW22" s="10" t="n">
        <v>0.541666666666667</v>
      </c>
      <c r="AX22" s="3" t="s">
        <v>20</v>
      </c>
      <c r="AY22" s="3" t="s">
        <v>20</v>
      </c>
      <c r="AZ22" s="3" t="s">
        <v>20</v>
      </c>
      <c r="BA22" s="3" t="s">
        <v>20</v>
      </c>
      <c r="BC22" s="1" t="s">
        <v>20</v>
      </c>
      <c r="BD22" s="3" t="s">
        <v>20</v>
      </c>
      <c r="BF22" s="3" t="s">
        <v>20</v>
      </c>
      <c r="BH22" s="2" t="s">
        <v>20</v>
      </c>
      <c r="BI22" s="2" t="s">
        <v>31</v>
      </c>
      <c r="BJ22" s="2" t="s">
        <v>20</v>
      </c>
      <c r="BK22" s="10" t="n">
        <v>0.548611111111111</v>
      </c>
      <c r="BL22" s="3" t="n">
        <f aca="false">COUNTIF(AB22:BF22,"P")</f>
        <v>16</v>
      </c>
      <c r="BM22" s="3" t="n">
        <f aca="false">COUNTIF(AB22:BF22,"M")</f>
        <v>0</v>
      </c>
      <c r="BN22" s="3" t="n">
        <f aca="false">COUNTIF(AB22:BF22,"T")</f>
        <v>2</v>
      </c>
      <c r="BO22" s="9" t="n">
        <f aca="false">ROUND((BL22+BM22/2+BN22/4)*0.5,0)</f>
        <v>8</v>
      </c>
    </row>
    <row r="23" customFormat="false" ht="15" hidden="true" customHeight="false" outlineLevel="0" collapsed="false">
      <c r="A23" s="1" t="n">
        <v>21</v>
      </c>
      <c r="B23" s="3" t="s">
        <v>95</v>
      </c>
      <c r="C23" s="3" t="s">
        <v>96</v>
      </c>
      <c r="D23" s="3" t="s">
        <v>97</v>
      </c>
      <c r="E23" s="1" t="s">
        <v>20</v>
      </c>
      <c r="F23" s="1" t="s">
        <v>20</v>
      </c>
      <c r="G23" s="1" t="s">
        <v>19</v>
      </c>
      <c r="H23" s="1" t="s">
        <v>20</v>
      </c>
      <c r="J23" s="1" t="s">
        <v>20</v>
      </c>
      <c r="K23" s="1" t="s">
        <v>20</v>
      </c>
      <c r="L23" s="1" t="s">
        <v>19</v>
      </c>
      <c r="M23" s="1" t="s">
        <v>19</v>
      </c>
      <c r="N23" s="1" t="s">
        <v>20</v>
      </c>
      <c r="P23" s="1" t="s">
        <v>20</v>
      </c>
      <c r="Q23" s="1" t="s">
        <v>20</v>
      </c>
      <c r="R23" s="1" t="s">
        <v>20</v>
      </c>
      <c r="S23" s="1" t="s">
        <v>20</v>
      </c>
      <c r="T23" s="1" t="s">
        <v>20</v>
      </c>
      <c r="U23" s="7" t="n">
        <f aca="false">COUNTIF(E23:T23,"C")</f>
        <v>0</v>
      </c>
      <c r="V23" s="7" t="n">
        <f aca="false">COUNTIF(E23:T23,"P")</f>
        <v>11</v>
      </c>
      <c r="W23" s="7" t="n">
        <f aca="false">COUNTIF(E23:T23,"M")</f>
        <v>0</v>
      </c>
      <c r="X23" s="7" t="n">
        <f aca="false">COUNTIF(E23:T23,"M")</f>
        <v>0</v>
      </c>
      <c r="Y23" s="7" t="n">
        <f aca="false">U23+V23+W23/2+X23/4</f>
        <v>11</v>
      </c>
      <c r="Z23" s="8" t="n">
        <f aca="false">ROUND(Y23*10/$AA$2,0)</f>
        <v>8</v>
      </c>
      <c r="AB23" s="1" t="s">
        <v>20</v>
      </c>
      <c r="AD23" s="1" t="s">
        <v>20</v>
      </c>
      <c r="AE23" s="1" t="s">
        <v>20</v>
      </c>
      <c r="AG23" s="1" t="s">
        <v>20</v>
      </c>
      <c r="AI23" s="1" t="s">
        <v>19</v>
      </c>
      <c r="AJ23" s="1" t="s">
        <v>62</v>
      </c>
      <c r="AK23" s="1" t="s">
        <v>20</v>
      </c>
      <c r="AM23" s="1" t="s">
        <v>31</v>
      </c>
      <c r="AN23" s="10" t="n">
        <v>0.555555555555556</v>
      </c>
      <c r="AO23" s="1" t="s">
        <v>20</v>
      </c>
      <c r="AP23" s="1" t="s">
        <v>20</v>
      </c>
      <c r="AR23" s="1" t="s">
        <v>20</v>
      </c>
      <c r="AS23" s="1" t="s">
        <v>20</v>
      </c>
      <c r="AU23" s="1" t="s">
        <v>20</v>
      </c>
      <c r="AV23" s="1" t="s">
        <v>20</v>
      </c>
      <c r="AX23" s="3" t="s">
        <v>19</v>
      </c>
      <c r="AY23" s="3" t="s">
        <v>19</v>
      </c>
      <c r="AZ23" s="3" t="s">
        <v>20</v>
      </c>
      <c r="BA23" s="3" t="s">
        <v>20</v>
      </c>
      <c r="BC23" s="1" t="s">
        <v>20</v>
      </c>
      <c r="BD23" s="3" t="s">
        <v>20</v>
      </c>
      <c r="BF23" s="3" t="s">
        <v>20</v>
      </c>
      <c r="BH23" s="2" t="s">
        <v>20</v>
      </c>
      <c r="BI23" s="2" t="s">
        <v>20</v>
      </c>
      <c r="BJ23" s="2" t="s">
        <v>20</v>
      </c>
      <c r="BL23" s="3" t="n">
        <f aca="false">COUNTIF(AB23:BF23,"P")</f>
        <v>16</v>
      </c>
      <c r="BM23" s="3" t="n">
        <f aca="false">COUNTIF(AB23:BF23,"M")</f>
        <v>0</v>
      </c>
      <c r="BN23" s="3" t="n">
        <f aca="false">COUNTIF(AB23:BF23,"T")</f>
        <v>1</v>
      </c>
      <c r="BO23" s="9" t="n">
        <f aca="false">ROUND((BL23+BM23/2+BN23/4)*0.5,0)</f>
        <v>8</v>
      </c>
    </row>
    <row r="24" customFormat="false" ht="15" hidden="true" customHeight="false" outlineLevel="0" collapsed="false">
      <c r="A24" s="1" t="n">
        <v>22</v>
      </c>
      <c r="B24" s="3" t="s">
        <v>98</v>
      </c>
      <c r="C24" s="3" t="s">
        <v>99</v>
      </c>
      <c r="D24" s="3" t="s">
        <v>100</v>
      </c>
      <c r="E24" s="1" t="s">
        <v>20</v>
      </c>
      <c r="F24" s="1" t="s">
        <v>20</v>
      </c>
      <c r="G24" s="1" t="s">
        <v>19</v>
      </c>
      <c r="H24" s="1" t="s">
        <v>19</v>
      </c>
      <c r="J24" s="1" t="s">
        <v>20</v>
      </c>
      <c r="K24" s="1" t="s">
        <v>20</v>
      </c>
      <c r="L24" s="1" t="s">
        <v>19</v>
      </c>
      <c r="M24" s="1" t="s">
        <v>19</v>
      </c>
      <c r="N24" s="1" t="s">
        <v>20</v>
      </c>
      <c r="P24" s="1" t="s">
        <v>19</v>
      </c>
      <c r="Q24" s="1" t="s">
        <v>19</v>
      </c>
      <c r="R24" s="1" t="s">
        <v>20</v>
      </c>
      <c r="S24" s="1" t="s">
        <v>20</v>
      </c>
      <c r="T24" s="1" t="s">
        <v>20</v>
      </c>
      <c r="U24" s="7" t="n">
        <f aca="false">COUNTIF(E24:T24,"C")</f>
        <v>0</v>
      </c>
      <c r="V24" s="7" t="n">
        <f aca="false">COUNTIF(E24:T24,"P")</f>
        <v>8</v>
      </c>
      <c r="W24" s="7" t="n">
        <f aca="false">COUNTIF(E24:T24,"M")</f>
        <v>0</v>
      </c>
      <c r="X24" s="7" t="n">
        <f aca="false">COUNTIF(E24:T24,"M")</f>
        <v>0</v>
      </c>
      <c r="Y24" s="7" t="n">
        <f aca="false">U24+V24+W24/2+X24/4</f>
        <v>8</v>
      </c>
      <c r="Z24" s="8" t="n">
        <f aca="false">ROUND(Y24*10/$AA$2,0)</f>
        <v>6</v>
      </c>
      <c r="AB24" s="1" t="s">
        <v>20</v>
      </c>
      <c r="AD24" s="1" t="s">
        <v>20</v>
      </c>
      <c r="AE24" s="1" t="s">
        <v>37</v>
      </c>
      <c r="AF24" s="10" t="n">
        <v>0.541666666666667</v>
      </c>
      <c r="AG24" s="1" t="s">
        <v>37</v>
      </c>
      <c r="AI24" s="1" t="s">
        <v>20</v>
      </c>
      <c r="AJ24" s="1" t="s">
        <v>24</v>
      </c>
      <c r="AK24" s="1" t="s">
        <v>31</v>
      </c>
      <c r="AL24" s="10" t="n">
        <v>0.552083333333333</v>
      </c>
      <c r="AM24" s="1" t="s">
        <v>20</v>
      </c>
      <c r="AO24" s="1" t="s">
        <v>20</v>
      </c>
      <c r="AP24" s="1" t="s">
        <v>31</v>
      </c>
      <c r="AQ24" s="10" t="n">
        <v>0.545138888888889</v>
      </c>
      <c r="AR24" s="1" t="s">
        <v>20</v>
      </c>
      <c r="AS24" s="1" t="s">
        <v>20</v>
      </c>
      <c r="AU24" s="1" t="s">
        <v>19</v>
      </c>
      <c r="AV24" s="1" t="s">
        <v>19</v>
      </c>
      <c r="AX24" s="3" t="s">
        <v>20</v>
      </c>
      <c r="AY24" s="3" t="s">
        <v>20</v>
      </c>
      <c r="AZ24" s="3" t="s">
        <v>20</v>
      </c>
      <c r="BA24" s="3" t="s">
        <v>37</v>
      </c>
      <c r="BB24" s="10" t="n">
        <v>0.541666666666667</v>
      </c>
      <c r="BC24" s="1" t="s">
        <v>20</v>
      </c>
      <c r="BD24" s="3" t="s">
        <v>20</v>
      </c>
      <c r="BF24" s="3" t="s">
        <v>31</v>
      </c>
      <c r="BG24" s="10" t="n">
        <v>0.548611111111111</v>
      </c>
      <c r="BH24" s="2" t="s">
        <v>19</v>
      </c>
      <c r="BI24" s="2" t="s">
        <v>31</v>
      </c>
      <c r="BJ24" s="2" t="s">
        <v>20</v>
      </c>
      <c r="BK24" s="10" t="n">
        <v>0.548611111111111</v>
      </c>
      <c r="BL24" s="3" t="n">
        <f aca="false">COUNTIF(AB24:BF24,"P")</f>
        <v>12</v>
      </c>
      <c r="BM24" s="3" t="n">
        <f aca="false">COUNTIF(AB24:BF24,"M")</f>
        <v>3</v>
      </c>
      <c r="BN24" s="3" t="n">
        <f aca="false">COUNTIF(AB24:BF24,"T")</f>
        <v>3</v>
      </c>
      <c r="BO24" s="9" t="n">
        <f aca="false">ROUND((BL24+BM24/2+BN24/4)*0.5,0)</f>
        <v>7</v>
      </c>
    </row>
    <row r="25" customFormat="false" ht="15" hidden="true" customHeight="false" outlineLevel="0" collapsed="false">
      <c r="A25" s="1" t="n">
        <v>23</v>
      </c>
      <c r="B25" s="3" t="s">
        <v>101</v>
      </c>
      <c r="C25" s="3" t="s">
        <v>102</v>
      </c>
      <c r="D25" s="3" t="s">
        <v>103</v>
      </c>
      <c r="E25" s="1" t="s">
        <v>20</v>
      </c>
      <c r="F25" s="1" t="s">
        <v>20</v>
      </c>
      <c r="G25" s="1" t="s">
        <v>20</v>
      </c>
      <c r="H25" s="1" t="s">
        <v>20</v>
      </c>
      <c r="J25" s="1" t="s">
        <v>20</v>
      </c>
      <c r="K25" s="1" t="s">
        <v>20</v>
      </c>
      <c r="L25" s="1" t="s">
        <v>20</v>
      </c>
      <c r="M25" s="1" t="s">
        <v>19</v>
      </c>
      <c r="N25" s="1" t="s">
        <v>20</v>
      </c>
      <c r="P25" s="1" t="s">
        <v>20</v>
      </c>
      <c r="Q25" s="1" t="s">
        <v>20</v>
      </c>
      <c r="R25" s="1" t="s">
        <v>20</v>
      </c>
      <c r="S25" s="1" t="s">
        <v>20</v>
      </c>
      <c r="T25" s="1" t="s">
        <v>20</v>
      </c>
      <c r="U25" s="7" t="n">
        <f aca="false">COUNTIF(E25:T25,"C")</f>
        <v>0</v>
      </c>
      <c r="V25" s="7" t="n">
        <f aca="false">COUNTIF(E25:T25,"P")</f>
        <v>13</v>
      </c>
      <c r="W25" s="7" t="n">
        <f aca="false">COUNTIF(E25:T25,"M")</f>
        <v>0</v>
      </c>
      <c r="X25" s="7" t="n">
        <f aca="false">COUNTIF(E25:T25,"M")</f>
        <v>0</v>
      </c>
      <c r="Y25" s="7" t="n">
        <f aca="false">U25+V25+W25/2+X25/4</f>
        <v>13</v>
      </c>
      <c r="Z25" s="8" t="n">
        <f aca="false">ROUND(Y25*10/$AA$2,0)</f>
        <v>9</v>
      </c>
      <c r="AB25" s="1" t="s">
        <v>20</v>
      </c>
      <c r="AD25" s="1" t="s">
        <v>20</v>
      </c>
      <c r="AE25" s="1" t="s">
        <v>20</v>
      </c>
      <c r="AG25" s="1" t="s">
        <v>20</v>
      </c>
      <c r="AI25" s="1" t="s">
        <v>20</v>
      </c>
      <c r="AJ25" s="1" t="s">
        <v>24</v>
      </c>
      <c r="AK25" s="1" t="s">
        <v>20</v>
      </c>
      <c r="AM25" s="1" t="s">
        <v>20</v>
      </c>
      <c r="AO25" s="1" t="s">
        <v>20</v>
      </c>
      <c r="AP25" s="1" t="s">
        <v>20</v>
      </c>
      <c r="AR25" s="1" t="s">
        <v>20</v>
      </c>
      <c r="AS25" s="1" t="s">
        <v>20</v>
      </c>
      <c r="AU25" s="1" t="s">
        <v>20</v>
      </c>
      <c r="AV25" s="1" t="s">
        <v>20</v>
      </c>
      <c r="AX25" s="3" t="s">
        <v>20</v>
      </c>
      <c r="AY25" s="3" t="s">
        <v>20</v>
      </c>
      <c r="AZ25" s="3" t="s">
        <v>20</v>
      </c>
      <c r="BA25" s="3" t="s">
        <v>20</v>
      </c>
      <c r="BC25" s="1" t="s">
        <v>20</v>
      </c>
      <c r="BD25" s="3" t="s">
        <v>20</v>
      </c>
      <c r="BF25" s="3" t="s">
        <v>20</v>
      </c>
      <c r="BH25" s="2" t="s">
        <v>20</v>
      </c>
      <c r="BI25" s="2" t="s">
        <v>20</v>
      </c>
      <c r="BJ25" s="2" t="s">
        <v>20</v>
      </c>
      <c r="BL25" s="3" t="n">
        <f aca="false">COUNTIF(AB25:BF25,"P")</f>
        <v>20</v>
      </c>
      <c r="BM25" s="3" t="n">
        <f aca="false">COUNTIF(AB25:BF25,"M")</f>
        <v>0</v>
      </c>
      <c r="BN25" s="3" t="n">
        <f aca="false">COUNTIF(AB25:BF25,"T")</f>
        <v>0</v>
      </c>
      <c r="BO25" s="9" t="n">
        <f aca="false">ROUND((BL25+BM25/2+BN25/4)*0.5,0)</f>
        <v>10</v>
      </c>
    </row>
    <row r="26" customFormat="false" ht="15" hidden="false" customHeight="false" outlineLevel="0" collapsed="false">
      <c r="B26" s="3"/>
      <c r="C26" s="3" t="s">
        <v>7</v>
      </c>
      <c r="D26" s="3"/>
      <c r="U26" s="7"/>
      <c r="V26" s="7"/>
      <c r="W26" s="7"/>
      <c r="X26" s="7"/>
      <c r="Y26" s="7"/>
      <c r="Z26" s="8"/>
      <c r="AE26" s="1" t="n">
        <f aca="false">COUNTIF(AE3:AE25,"P")</f>
        <v>17</v>
      </c>
      <c r="AG26" s="1" t="n">
        <f aca="false">COUNTIF(AG3:AG25,"P")</f>
        <v>19</v>
      </c>
      <c r="AI26" s="1" t="n">
        <f aca="false">COUNTIF(AI3:AI25,"P")</f>
        <v>21</v>
      </c>
      <c r="AK26" s="1" t="n">
        <f aca="false">COUNTIF(AK3:AK25,"P")</f>
        <v>19</v>
      </c>
      <c r="AM26" s="1" t="n">
        <f aca="false">COUNTIF(AM3:AM25,"P")</f>
        <v>18</v>
      </c>
      <c r="AO26" s="1" t="n">
        <f aca="false">COUNTIF(AO3:AO25,"P")</f>
        <v>13</v>
      </c>
      <c r="AP26" s="1" t="n">
        <f aca="false">COUNTIF(AP3:AP25,"P")</f>
        <v>17</v>
      </c>
      <c r="AR26" s="1" t="n">
        <f aca="false">COUNTIF(AR3:AR25,"P")</f>
        <v>23</v>
      </c>
      <c r="AS26" s="1" t="n">
        <f aca="false">COUNTIF(AS3:AS25,"P")</f>
        <v>20</v>
      </c>
      <c r="AU26" s="1" t="n">
        <f aca="false">COUNTIF(AU3:AU25,"P")</f>
        <v>21</v>
      </c>
      <c r="AV26" s="1" t="n">
        <f aca="false">COUNTIF(AV3:AV25,"P")</f>
        <v>13</v>
      </c>
      <c r="AX26" s="1" t="n">
        <f aca="false">COUNTIF(AX3:AX25,"P")</f>
        <v>19</v>
      </c>
      <c r="AY26" s="1" t="n">
        <f aca="false">COUNTIF(AY3:AY25,"P")</f>
        <v>17</v>
      </c>
      <c r="AZ26" s="1" t="n">
        <f aca="false">COUNTIF(AZ3:AZ25,"P")</f>
        <v>18</v>
      </c>
      <c r="BA26" s="1" t="n">
        <f aca="false">COUNTIF(BA3:BA25,"P")</f>
        <v>18</v>
      </c>
      <c r="BC26" s="1" t="n">
        <f aca="false">COUNTIF(BC3:BC25,"P")</f>
        <v>23</v>
      </c>
      <c r="BD26" s="1" t="n">
        <f aca="false">COUNTIF(BD3:BD25,"P")</f>
        <v>20</v>
      </c>
      <c r="BF26" s="1" t="n">
        <f aca="false">COUNTIF(BF3:BF25,"P")</f>
        <v>18</v>
      </c>
      <c r="BH26" s="2" t="n">
        <f aca="false">COUNTIF(BH3:BH25,"P")</f>
        <v>19</v>
      </c>
      <c r="BI26" s="2" t="n">
        <f aca="false">COUNTIF(BI3:BI25,"P")</f>
        <v>16</v>
      </c>
      <c r="BJ26" s="2" t="n">
        <f aca="false">COUNTIF(BJ3:BJ25,"P")</f>
        <v>22</v>
      </c>
    </row>
    <row r="27" customFormat="false" ht="15" hidden="false" customHeight="false" outlineLevel="0" collapsed="false">
      <c r="C27" s="1" t="s">
        <v>104</v>
      </c>
      <c r="D27" s="1" t="s">
        <v>105</v>
      </c>
      <c r="H27" s="1" t="n">
        <f aca="false">COUNTIF(H3:H25,"A")</f>
        <v>2</v>
      </c>
      <c r="J27" s="1" t="n">
        <f aca="false">COUNTIF(J3:J25,"A")</f>
        <v>2</v>
      </c>
      <c r="AE27" s="1" t="n">
        <f aca="false">COUNTIF(AE3:AE25,"m")</f>
        <v>4</v>
      </c>
      <c r="AG27" s="1" t="n">
        <f aca="false">COUNTIF(AG3:AG25,"m")</f>
        <v>3</v>
      </c>
      <c r="AI27" s="1" t="n">
        <f aca="false">COUNTIF(AI3:AI25,"m")</f>
        <v>0</v>
      </c>
      <c r="AK27" s="1" t="n">
        <f aca="false">COUNTIF(AK3:AK25,"m")</f>
        <v>0</v>
      </c>
      <c r="AM27" s="1" t="n">
        <f aca="false">COUNTIF(AM3:AM25,"m")</f>
        <v>0</v>
      </c>
      <c r="AO27" s="1" t="n">
        <f aca="false">COUNTIF(AO3:AO25,"m")</f>
        <v>0</v>
      </c>
      <c r="AP27" s="1" t="n">
        <f aca="false">COUNTIF(AP3:AP25,"m")</f>
        <v>1</v>
      </c>
      <c r="AR27" s="1" t="n">
        <f aca="false">COUNTIF(AR3:AR25,"m")</f>
        <v>0</v>
      </c>
      <c r="AS27" s="1" t="n">
        <f aca="false">COUNTIF(AS3:AS25,"m")</f>
        <v>0</v>
      </c>
      <c r="AU27" s="1" t="n">
        <f aca="false">COUNTIF(AU3:AU25,"m")</f>
        <v>0</v>
      </c>
      <c r="AV27" s="1" t="n">
        <f aca="false">COUNTIF(AV3:AV25,"m")</f>
        <v>2</v>
      </c>
      <c r="AX27" s="1" t="n">
        <f aca="false">COUNTIF(AX3:AX25,"m")</f>
        <v>0</v>
      </c>
      <c r="AY27" s="1" t="n">
        <f aca="false">COUNTIF(AY3:AY25,"m")</f>
        <v>0</v>
      </c>
      <c r="AZ27" s="1" t="n">
        <f aca="false">COUNTIF(AZ3:AZ25,"m")</f>
        <v>0</v>
      </c>
      <c r="BA27" s="1" t="n">
        <f aca="false">COUNTIF(BA3:BA25,"m")</f>
        <v>1</v>
      </c>
      <c r="BC27" s="1" t="n">
        <f aca="false">COUNTIF(BC3:BC25,"m")</f>
        <v>0</v>
      </c>
      <c r="BD27" s="1" t="n">
        <f aca="false">COUNTIF(BD3:BD25,"m")</f>
        <v>0</v>
      </c>
      <c r="BF27" s="1" t="n">
        <f aca="false">COUNTIF(BF3:BF25,"m")</f>
        <v>1</v>
      </c>
      <c r="BH27" s="2" t="n">
        <f aca="false">COUNTIF(BH3:BH25,"m")</f>
        <v>0</v>
      </c>
      <c r="BI27" s="2" t="n">
        <f aca="false">COUNTIF(BI3:BI25,"m")</f>
        <v>0</v>
      </c>
      <c r="BJ27" s="2" t="n">
        <f aca="false">COUNTIF(BJ3:BJ25,"m")</f>
        <v>0</v>
      </c>
    </row>
    <row r="28" customFormat="false" ht="15" hidden="false" customHeight="false" outlineLevel="0" collapsed="false">
      <c r="C28" s="1" t="s">
        <v>9</v>
      </c>
      <c r="AE28" s="1" t="n">
        <f aca="false">COUNTIF(AE3:AE25,"T")</f>
        <v>0</v>
      </c>
      <c r="AG28" s="1" t="n">
        <f aca="false">COUNTIF(AG3:AG25,"T")</f>
        <v>0</v>
      </c>
      <c r="AI28" s="1" t="n">
        <f aca="false">COUNTIF(AI3:AI25,"T")</f>
        <v>0</v>
      </c>
      <c r="AK28" s="1" t="n">
        <f aca="false">COUNTIF(AK3:AK25,"T")</f>
        <v>3</v>
      </c>
      <c r="AM28" s="1" t="n">
        <f aca="false">COUNTIF(AM3:AM25,"T")</f>
        <v>3</v>
      </c>
      <c r="AO28" s="1" t="n">
        <f aca="false">COUNTIF(AO3:AO25,"T")</f>
        <v>0</v>
      </c>
      <c r="AP28" s="1" t="n">
        <f aca="false">COUNTIF(AP3:AP25,"T")</f>
        <v>3</v>
      </c>
      <c r="AR28" s="1" t="n">
        <f aca="false">COUNTIF(AR3:AR25,"T")</f>
        <v>0</v>
      </c>
      <c r="AS28" s="1" t="n">
        <f aca="false">COUNTIF(AS3:AS25,"T")</f>
        <v>1</v>
      </c>
      <c r="AU28" s="1" t="n">
        <f aca="false">COUNTIF(AU3:AU25,"T")</f>
        <v>0</v>
      </c>
      <c r="AV28" s="1" t="n">
        <f aca="false">COUNTIF(AV3:AV25,"T")</f>
        <v>5</v>
      </c>
      <c r="AX28" s="1" t="n">
        <f aca="false">COUNTIF(AX3:AX25,"T")</f>
        <v>0</v>
      </c>
      <c r="AY28" s="1" t="n">
        <f aca="false">COUNTIF(AY3:AY25,"T")</f>
        <v>0</v>
      </c>
      <c r="AZ28" s="1" t="n">
        <f aca="false">COUNTIF(AZ3:AZ25,"T")</f>
        <v>0</v>
      </c>
      <c r="BA28" s="1" t="n">
        <f aca="false">COUNTIF(BA3:BA25,"T")</f>
        <v>0</v>
      </c>
      <c r="BC28" s="1" t="n">
        <f aca="false">COUNTIF(BC3:BC25,"T")</f>
        <v>0</v>
      </c>
      <c r="BD28" s="1" t="n">
        <f aca="false">COUNTIF(BD3:BD25,"T")</f>
        <v>1</v>
      </c>
      <c r="BF28" s="1" t="n">
        <f aca="false">COUNTIF(BF3:BF25,"T")</f>
        <v>2</v>
      </c>
      <c r="BH28" s="2" t="n">
        <f aca="false">COUNTIF(BH3:BH25,"T")</f>
        <v>2</v>
      </c>
      <c r="BI28" s="2" t="n">
        <f aca="false">COUNTIF(BI3:BI25,"T")</f>
        <v>3</v>
      </c>
      <c r="BJ28" s="2" t="n">
        <f aca="false">COUNTIF(BJ3:BJ25,"T")</f>
        <v>0</v>
      </c>
    </row>
    <row r="29" customFormat="false" ht="15" hidden="false" customHeight="false" outlineLevel="0" collapsed="false">
      <c r="C29" s="1" t="s">
        <v>106</v>
      </c>
      <c r="AY29" s="3" t="n">
        <f aca="false">COUNTIF(AY3:AY25,"O")</f>
        <v>3</v>
      </c>
      <c r="AZ29" s="3" t="n">
        <f aca="false">COUNTIF(AZ3:AZ25,"O")</f>
        <v>0</v>
      </c>
      <c r="BA29" s="3" t="n">
        <f aca="false">COUNTIF(BA3:BA25,"O")</f>
        <v>0</v>
      </c>
      <c r="BC29" s="3" t="n">
        <f aca="false">COUNTIF(BC3:BC25,"O")</f>
        <v>0</v>
      </c>
      <c r="BD29" s="3" t="n">
        <f aca="false">COUNTIF(BD3:BD25,"O")</f>
        <v>0</v>
      </c>
      <c r="BF29" s="3" t="n">
        <f aca="false">COUNTIF(BF3:BF25,"O")</f>
        <v>0</v>
      </c>
      <c r="BH29" s="11" t="n">
        <f aca="false">COUNTIF(BH3:BH25,"O")</f>
        <v>0</v>
      </c>
      <c r="BI29" s="11" t="n">
        <f aca="false">COUNTIF(BI3:BI25,"O")</f>
        <v>0</v>
      </c>
      <c r="BJ29" s="11" t="n">
        <f aca="false">COUNTIF(BJ3:BJ25,"O")</f>
        <v>0</v>
      </c>
      <c r="BK29" s="3"/>
    </row>
    <row r="30" customFormat="false" ht="15" hidden="false" customHeight="false" outlineLevel="0" collapsed="false">
      <c r="C30" s="1" t="s">
        <v>0</v>
      </c>
      <c r="AE30" s="1" t="n">
        <f aca="false">SUM(AE25:AE28)</f>
        <v>21</v>
      </c>
      <c r="AG30" s="1" t="n">
        <f aca="false">SUM(AG25:AG28)</f>
        <v>22</v>
      </c>
      <c r="AI30" s="1" t="n">
        <f aca="false">SUM(AI25:AI28)</f>
        <v>21</v>
      </c>
      <c r="AK30" s="1" t="n">
        <f aca="false">SUM(AK25:AK28)</f>
        <v>22</v>
      </c>
      <c r="AM30" s="1" t="n">
        <f aca="false">SUM(AM25:AM28)</f>
        <v>21</v>
      </c>
      <c r="AO30" s="1" t="n">
        <f aca="false">SUM(AO25:AO28)</f>
        <v>13</v>
      </c>
      <c r="AP30" s="1" t="n">
        <f aca="false">SUM(AP25:AP28)</f>
        <v>21</v>
      </c>
      <c r="AR30" s="1" t="n">
        <f aca="false">SUM(AR25:AR28)</f>
        <v>23</v>
      </c>
      <c r="AS30" s="1" t="n">
        <f aca="false">SUM(AS25:AS28)</f>
        <v>21</v>
      </c>
      <c r="AU30" s="1" t="n">
        <f aca="false">SUM(AU25:AU28)</f>
        <v>21</v>
      </c>
      <c r="AV30" s="1" t="n">
        <f aca="false">SUM(AV25:AV28)</f>
        <v>20</v>
      </c>
      <c r="AX30" s="1" t="n">
        <f aca="false">SUM(AX25:AX28)</f>
        <v>19</v>
      </c>
      <c r="AY30" s="1" t="n">
        <f aca="false">SUM(AY25:AY29)</f>
        <v>20</v>
      </c>
      <c r="AZ30" s="1" t="n">
        <f aca="false">SUM(AZ25:AZ29)</f>
        <v>18</v>
      </c>
      <c r="BA30" s="1" t="n">
        <f aca="false">SUM(BA25:BA29)</f>
        <v>19</v>
      </c>
      <c r="BC30" s="1" t="n">
        <f aca="false">SUM(BC25:BC29)</f>
        <v>23</v>
      </c>
      <c r="BD30" s="1" t="n">
        <f aca="false">SUM(BD25:BD29)</f>
        <v>21</v>
      </c>
      <c r="BF30" s="1" t="n">
        <f aca="false">SUM(BF25:BF29)</f>
        <v>21</v>
      </c>
      <c r="BH30" s="2" t="n">
        <f aca="false">SUM(BH25:BH29)</f>
        <v>21</v>
      </c>
      <c r="BI30" s="2" t="n">
        <f aca="false">SUM(BI25:BI29)</f>
        <v>19</v>
      </c>
      <c r="BJ30" s="2" t="n">
        <f aca="false">SUM(BJ25:BJ29)</f>
        <v>22</v>
      </c>
    </row>
  </sheetData>
  <conditionalFormatting sqref="BO3:BO25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D17" activeCellId="0" sqref="AD17"/>
    </sheetView>
  </sheetViews>
  <sheetFormatPr defaultColWidth="9.7968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7.25"/>
    <col collapsed="false" customWidth="true" hidden="true" outlineLevel="0" max="10" min="3" style="1" width="9.39"/>
    <col collapsed="false" customWidth="true" hidden="true" outlineLevel="0" max="11" min="11" style="1" width="9.56"/>
    <col collapsed="false" customWidth="true" hidden="true" outlineLevel="0" max="13" min="12" style="1" width="9.58"/>
    <col collapsed="false" customWidth="false" hidden="true" outlineLevel="0" max="22" min="14" style="1" width="9.79"/>
    <col collapsed="false" customWidth="false" hidden="true" outlineLevel="0" max="29" min="23" style="0" width="9.79"/>
  </cols>
  <sheetData>
    <row r="1" customFormat="false" ht="15" hidden="false" customHeight="false" outlineLevel="0" collapsed="false">
      <c r="B1" s="3"/>
      <c r="N1" s="1" t="s">
        <v>107</v>
      </c>
      <c r="O1" s="4"/>
      <c r="P1" s="3"/>
      <c r="W1" s="1" t="s">
        <v>108</v>
      </c>
      <c r="X1" s="1"/>
      <c r="Y1" s="16" t="s">
        <v>109</v>
      </c>
      <c r="Z1" s="1"/>
      <c r="AA1" s="1"/>
      <c r="AB1" s="1"/>
      <c r="AC1" s="1"/>
      <c r="AD1" s="17" t="s">
        <v>110</v>
      </c>
    </row>
    <row r="2" customFormat="false" ht="15" hidden="false" customHeight="false" outlineLevel="0" collapsed="false">
      <c r="A2" s="1" t="s">
        <v>1</v>
      </c>
      <c r="B2" s="3" t="s">
        <v>3</v>
      </c>
      <c r="C2" s="1" t="s">
        <v>111</v>
      </c>
      <c r="D2" s="1" t="s">
        <v>112</v>
      </c>
      <c r="E2" s="1" t="s">
        <v>113</v>
      </c>
      <c r="F2" s="1" t="s">
        <v>114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118</v>
      </c>
      <c r="O2" s="4" t="n">
        <v>45856</v>
      </c>
      <c r="P2" s="3" t="s">
        <v>122</v>
      </c>
      <c r="Q2" s="16" t="s">
        <v>123</v>
      </c>
      <c r="R2" s="16" t="s">
        <v>124</v>
      </c>
      <c r="S2" s="16" t="s">
        <v>125</v>
      </c>
      <c r="T2" s="3" t="s">
        <v>121</v>
      </c>
      <c r="U2" s="3" t="s">
        <v>116</v>
      </c>
      <c r="V2" s="3" t="s">
        <v>126</v>
      </c>
      <c r="W2" s="1" t="s">
        <v>118</v>
      </c>
      <c r="X2" s="3" t="s">
        <v>127</v>
      </c>
      <c r="Y2" s="16" t="s">
        <v>128</v>
      </c>
      <c r="Z2" s="1" t="s">
        <v>129</v>
      </c>
      <c r="AA2" s="1" t="s">
        <v>130</v>
      </c>
      <c r="AB2" s="16" t="s">
        <v>131</v>
      </c>
      <c r="AC2" s="16" t="s">
        <v>132</v>
      </c>
    </row>
    <row r="3" customFormat="false" ht="15.65" hidden="true" customHeight="false" outlineLevel="0" collapsed="false">
      <c r="A3" s="1" t="n">
        <v>1</v>
      </c>
      <c r="B3" s="3" t="s">
        <v>17</v>
      </c>
      <c r="C3" s="1" t="n">
        <v>9</v>
      </c>
      <c r="D3" s="1" t="n">
        <v>10</v>
      </c>
      <c r="E3" s="1" t="n">
        <v>8</v>
      </c>
      <c r="F3" s="1" t="n">
        <v>8</v>
      </c>
      <c r="H3" s="1" t="n">
        <v>4</v>
      </c>
      <c r="I3" s="1" t="n">
        <f aca="false">F3+H3/2</f>
        <v>10</v>
      </c>
      <c r="J3" s="1" t="n">
        <f aca="false">ROUND(AVERAGE(C3:E3,I3),0)</f>
        <v>9</v>
      </c>
      <c r="K3" s="9" t="str">
        <f aca="false">IF(J3&lt;7,"TEP","TEA")</f>
        <v>TEA</v>
      </c>
      <c r="L3" s="1" t="n">
        <v>9.25</v>
      </c>
      <c r="M3" s="1" t="n">
        <v>3</v>
      </c>
      <c r="N3" s="9" t="n">
        <f aca="false">ROUND(AVERAGE(M3,L3,J3),0)</f>
        <v>7</v>
      </c>
      <c r="O3" s="1" t="s">
        <v>20</v>
      </c>
      <c r="P3" s="1" t="n">
        <v>8</v>
      </c>
      <c r="Q3" s="1" t="n">
        <v>7</v>
      </c>
      <c r="R3" s="1" t="n">
        <v>8</v>
      </c>
      <c r="S3" s="1" t="n">
        <v>7</v>
      </c>
      <c r="T3" s="1" t="n">
        <v>8</v>
      </c>
      <c r="U3" s="1" t="n">
        <v>0</v>
      </c>
      <c r="V3" s="1" t="n">
        <f aca="false">T3+U3/2</f>
        <v>8</v>
      </c>
      <c r="W3" s="9" t="n">
        <f aca="false">ROUND(AVERAGE(P3,Q3,R3,S3,V3),0)</f>
        <v>8</v>
      </c>
      <c r="X3" s="9" t="n">
        <f aca="false">ROUND(AVERAGE(N3,W3),0)</f>
        <v>8</v>
      </c>
    </row>
    <row r="4" customFormat="false" ht="15.65" hidden="true" customHeight="false" outlineLevel="0" collapsed="false">
      <c r="A4" s="1" t="n">
        <v>2</v>
      </c>
      <c r="B4" s="3" t="s">
        <v>22</v>
      </c>
      <c r="C4" s="1" t="n">
        <v>8</v>
      </c>
      <c r="D4" s="1" t="n">
        <v>8</v>
      </c>
      <c r="E4" s="1" t="n">
        <v>9</v>
      </c>
      <c r="F4" s="2" t="n">
        <v>7</v>
      </c>
      <c r="G4" s="4" t="n">
        <v>45784</v>
      </c>
      <c r="H4" s="1" t="n">
        <v>1</v>
      </c>
      <c r="I4" s="1" t="n">
        <f aca="false">F4+H4/2</f>
        <v>7.5</v>
      </c>
      <c r="J4" s="1" t="n">
        <f aca="false">ROUND(AVERAGE(C4:E4,I4),0)</f>
        <v>8</v>
      </c>
      <c r="K4" s="9" t="str">
        <f aca="false">IF(J4&lt;7,"TEP","TEA")</f>
        <v>TEA</v>
      </c>
      <c r="L4" s="1" t="n">
        <v>9</v>
      </c>
      <c r="M4" s="1" t="n">
        <v>9</v>
      </c>
      <c r="N4" s="9" t="n">
        <f aca="false">ROUND(AVERAGE(M4,L4,J4),0)</f>
        <v>9</v>
      </c>
      <c r="O4" s="1" t="s">
        <v>20</v>
      </c>
      <c r="P4" s="1" t="n">
        <v>9</v>
      </c>
      <c r="Q4" s="1" t="n">
        <v>6</v>
      </c>
      <c r="R4" s="1" t="n">
        <v>8</v>
      </c>
      <c r="S4" s="1" t="n">
        <v>8</v>
      </c>
      <c r="T4" s="1" t="n">
        <v>10</v>
      </c>
      <c r="U4" s="1" t="n">
        <v>19</v>
      </c>
      <c r="V4" s="1" t="n">
        <f aca="false">T4+U4/2</f>
        <v>19.5</v>
      </c>
      <c r="W4" s="9" t="n">
        <f aca="false">ROUND(AVERAGE(P4,Q4,R4,S4,V4),0)</f>
        <v>10</v>
      </c>
      <c r="X4" s="9" t="n">
        <f aca="false">ROUND(AVERAGE(N4,W4),0)</f>
        <v>10</v>
      </c>
    </row>
    <row r="5" customFormat="false" ht="15.65" hidden="true" customHeight="false" outlineLevel="0" collapsed="false">
      <c r="A5" s="1" t="n">
        <v>3</v>
      </c>
      <c r="B5" s="3" t="s">
        <v>27</v>
      </c>
      <c r="C5" s="1" t="n">
        <v>8</v>
      </c>
      <c r="D5" s="1" t="n">
        <v>9</v>
      </c>
      <c r="E5" s="1" t="n">
        <v>10</v>
      </c>
      <c r="F5" s="1" t="n">
        <v>10</v>
      </c>
      <c r="H5" s="1" t="n">
        <v>3</v>
      </c>
      <c r="I5" s="1" t="n">
        <f aca="false">F5+H5/2</f>
        <v>11.5</v>
      </c>
      <c r="J5" s="1" t="n">
        <f aca="false">ROUND(AVERAGE(C5:E5,I5),0)</f>
        <v>10</v>
      </c>
      <c r="K5" s="9" t="str">
        <f aca="false">IF(J5&lt;7,"TEP","TEA")</f>
        <v>TEA</v>
      </c>
      <c r="L5" s="1" t="n">
        <v>10</v>
      </c>
      <c r="M5" s="1" t="n">
        <v>9</v>
      </c>
      <c r="N5" s="9" t="n">
        <f aca="false">ROUND(AVERAGE(M5,L5,J5),0)</f>
        <v>10</v>
      </c>
      <c r="O5" s="1" t="s">
        <v>19</v>
      </c>
      <c r="P5" s="1" t="n">
        <v>10</v>
      </c>
      <c r="Q5" s="1" t="n">
        <v>1</v>
      </c>
      <c r="R5" s="1" t="n">
        <v>8</v>
      </c>
      <c r="S5" s="1" t="n">
        <v>7</v>
      </c>
      <c r="T5" s="1" t="n">
        <v>9</v>
      </c>
      <c r="U5" s="1" t="n">
        <v>0</v>
      </c>
      <c r="V5" s="1" t="n">
        <f aca="false">T5+U5/2</f>
        <v>9</v>
      </c>
      <c r="W5" s="9" t="n">
        <f aca="false">ROUND(AVERAGE(P5,Q5,R5,S5,V5),0)</f>
        <v>7</v>
      </c>
      <c r="X5" s="9" t="n">
        <f aca="false">ROUND(AVERAGE(N5,W5),0)</f>
        <v>9</v>
      </c>
    </row>
    <row r="6" customFormat="false" ht="15.65" hidden="true" customHeight="false" outlineLevel="0" collapsed="false">
      <c r="A6" s="1" t="n">
        <v>4</v>
      </c>
      <c r="B6" s="3" t="s">
        <v>33</v>
      </c>
      <c r="C6" s="1" t="n">
        <v>10</v>
      </c>
      <c r="D6" s="1" t="n">
        <v>9</v>
      </c>
      <c r="E6" s="1" t="n">
        <v>10</v>
      </c>
      <c r="F6" s="1" t="n">
        <v>1</v>
      </c>
      <c r="H6" s="1" t="n">
        <v>0</v>
      </c>
      <c r="I6" s="1" t="n">
        <f aca="false">F6+H6/2</f>
        <v>1</v>
      </c>
      <c r="J6" s="1" t="n">
        <f aca="false">ROUND(AVERAGE(C6:E6,I6),0)</f>
        <v>8</v>
      </c>
      <c r="K6" s="9" t="str">
        <f aca="false">IF(J6&lt;7,"TEP","TEA")</f>
        <v>TEA</v>
      </c>
      <c r="L6" s="1" t="n">
        <v>9.5</v>
      </c>
      <c r="M6" s="1" t="n">
        <v>9</v>
      </c>
      <c r="N6" s="9" t="n">
        <f aca="false">ROUND(AVERAGE(M6,L6,J6),0)</f>
        <v>9</v>
      </c>
      <c r="O6" s="1" t="s">
        <v>20</v>
      </c>
      <c r="P6" s="1" t="n">
        <v>3</v>
      </c>
      <c r="Q6" s="1" t="n">
        <v>1</v>
      </c>
      <c r="R6" s="1" t="n">
        <v>8</v>
      </c>
      <c r="S6" s="1" t="n">
        <v>6</v>
      </c>
      <c r="T6" s="1" t="n">
        <v>9</v>
      </c>
      <c r="U6" s="1" t="n">
        <v>20</v>
      </c>
      <c r="V6" s="1" t="n">
        <f aca="false">T6+U6/2</f>
        <v>19</v>
      </c>
      <c r="W6" s="9" t="n">
        <f aca="false">ROUND(AVERAGE(P6,Q6,R6,S6,V6),0)</f>
        <v>7</v>
      </c>
      <c r="X6" s="9" t="n">
        <f aca="false">ROUND(AVERAGE(N6,W6),0)</f>
        <v>8</v>
      </c>
      <c r="Y6" s="1" t="n">
        <v>1</v>
      </c>
      <c r="Z6" s="1" t="n">
        <v>1</v>
      </c>
      <c r="AA6" s="1" t="n">
        <v>1</v>
      </c>
      <c r="AB6" s="1" t="n">
        <v>1</v>
      </c>
    </row>
    <row r="7" customFormat="false" ht="15.65" hidden="true" customHeight="false" outlineLevel="0" collapsed="false">
      <c r="A7" s="1" t="n">
        <v>5</v>
      </c>
      <c r="B7" s="3" t="s">
        <v>40</v>
      </c>
      <c r="C7" s="1" t="n">
        <v>9</v>
      </c>
      <c r="D7" s="1" t="n">
        <v>10</v>
      </c>
      <c r="E7" s="1" t="n">
        <v>10</v>
      </c>
      <c r="F7" s="2" t="n">
        <v>7</v>
      </c>
      <c r="G7" s="4" t="n">
        <v>45784</v>
      </c>
      <c r="H7" s="1" t="n">
        <v>0</v>
      </c>
      <c r="I7" s="1" t="n">
        <f aca="false">F7+H7/2</f>
        <v>7</v>
      </c>
      <c r="J7" s="1" t="n">
        <f aca="false">ROUND(AVERAGE(C7:E7,I7),0)</f>
        <v>9</v>
      </c>
      <c r="K7" s="9" t="str">
        <f aca="false">IF(J7&lt;7,"TEP","TEA")</f>
        <v>TEA</v>
      </c>
      <c r="L7" s="1" t="n">
        <v>8.75</v>
      </c>
      <c r="M7" s="1" t="n">
        <v>9</v>
      </c>
      <c r="N7" s="9" t="n">
        <f aca="false">ROUND(AVERAGE(M7,L7,J7),0)</f>
        <v>9</v>
      </c>
      <c r="O7" s="1" t="s">
        <v>20</v>
      </c>
      <c r="P7" s="1" t="n">
        <v>7</v>
      </c>
      <c r="Q7" s="1" t="n">
        <v>6</v>
      </c>
      <c r="R7" s="1" t="n">
        <v>7</v>
      </c>
      <c r="S7" s="1" t="n">
        <v>7</v>
      </c>
      <c r="T7" s="1" t="n">
        <v>6</v>
      </c>
      <c r="U7" s="1" t="n">
        <v>0</v>
      </c>
      <c r="V7" s="1" t="n">
        <f aca="false">T7+U7/2</f>
        <v>6</v>
      </c>
      <c r="W7" s="9" t="n">
        <f aca="false">ROUND(AVERAGE(P7,Q7,R7,S7,V7),0)</f>
        <v>7</v>
      </c>
      <c r="X7" s="9" t="n">
        <f aca="false">ROUND(AVERAGE(N7,W7),0)</f>
        <v>8</v>
      </c>
    </row>
    <row r="8" customFormat="false" ht="15.65" hidden="true" customHeight="false" outlineLevel="0" collapsed="false">
      <c r="A8" s="1" t="n">
        <v>6</v>
      </c>
      <c r="B8" s="3" t="s">
        <v>43</v>
      </c>
      <c r="C8" s="1" t="n">
        <v>9</v>
      </c>
      <c r="D8" s="1" t="n">
        <v>10</v>
      </c>
      <c r="E8" s="1" t="n">
        <v>10</v>
      </c>
      <c r="F8" s="2" t="n">
        <v>7</v>
      </c>
      <c r="G8" s="4" t="n">
        <v>45784</v>
      </c>
      <c r="H8" s="1" t="n">
        <v>2</v>
      </c>
      <c r="I8" s="1" t="n">
        <f aca="false">F8+H8/2</f>
        <v>8</v>
      </c>
      <c r="J8" s="1" t="n">
        <f aca="false">ROUND(AVERAGE(C8:E8,I8),0)</f>
        <v>9</v>
      </c>
      <c r="K8" s="9" t="str">
        <f aca="false">IF(J8&lt;7,"TEP","TEA")</f>
        <v>TEA</v>
      </c>
      <c r="L8" s="1" t="n">
        <v>9.75</v>
      </c>
      <c r="M8" s="1" t="n">
        <v>9</v>
      </c>
      <c r="N8" s="9" t="n">
        <f aca="false">ROUND(AVERAGE(M8,L8,J8),0)</f>
        <v>9</v>
      </c>
      <c r="O8" s="1" t="s">
        <v>20</v>
      </c>
      <c r="P8" s="1" t="n">
        <v>5</v>
      </c>
      <c r="Q8" s="1" t="n">
        <v>6</v>
      </c>
      <c r="R8" s="1" t="n">
        <v>8</v>
      </c>
      <c r="S8" s="1" t="n">
        <v>7</v>
      </c>
      <c r="T8" s="1" t="n">
        <v>9</v>
      </c>
      <c r="U8" s="1" t="n">
        <v>5</v>
      </c>
      <c r="V8" s="1" t="n">
        <f aca="false">T8+U8/2</f>
        <v>11.5</v>
      </c>
      <c r="W8" s="9" t="n">
        <f aca="false">ROUND(AVERAGE(P8,Q8,R8,S8,V8),0)</f>
        <v>8</v>
      </c>
      <c r="X8" s="9" t="n">
        <f aca="false">ROUND(AVERAGE(N8,W8),0)</f>
        <v>9</v>
      </c>
    </row>
    <row r="9" customFormat="false" ht="15.65" hidden="true" customHeight="false" outlineLevel="0" collapsed="false">
      <c r="A9" s="1" t="n">
        <v>7</v>
      </c>
      <c r="B9" s="3" t="s">
        <v>46</v>
      </c>
      <c r="C9" s="1" t="n">
        <v>9</v>
      </c>
      <c r="D9" s="1" t="n">
        <v>9</v>
      </c>
      <c r="E9" s="1" t="n">
        <v>10</v>
      </c>
      <c r="F9" s="18" t="n">
        <v>9</v>
      </c>
      <c r="G9" s="19" t="n">
        <v>45784</v>
      </c>
      <c r="H9" s="1" t="n">
        <v>2</v>
      </c>
      <c r="I9" s="1" t="n">
        <f aca="false">F9+H9/2</f>
        <v>10</v>
      </c>
      <c r="J9" s="1" t="n">
        <f aca="false">ROUND(AVERAGE(C9:E9,I9),0)</f>
        <v>10</v>
      </c>
      <c r="K9" s="9" t="str">
        <f aca="false">IF(J9&lt;7,"TEP","TEA")</f>
        <v>TEA</v>
      </c>
      <c r="L9" s="1" t="n">
        <v>9.75</v>
      </c>
      <c r="M9" s="1" t="n">
        <v>10</v>
      </c>
      <c r="N9" s="9" t="n">
        <f aca="false">ROUND(AVERAGE(M9,L9,J9),0)</f>
        <v>10</v>
      </c>
      <c r="O9" s="1" t="s">
        <v>20</v>
      </c>
      <c r="P9" s="1" t="n">
        <v>1</v>
      </c>
      <c r="Q9" s="1" t="n">
        <v>10</v>
      </c>
      <c r="R9" s="1" t="n">
        <v>9</v>
      </c>
      <c r="S9" s="1" t="n">
        <v>9</v>
      </c>
      <c r="T9" s="1" t="n">
        <v>10</v>
      </c>
      <c r="U9" s="1" t="n">
        <v>50</v>
      </c>
      <c r="V9" s="1" t="n">
        <f aca="false">T9+U9/2</f>
        <v>35</v>
      </c>
      <c r="W9" s="9" t="n">
        <f aca="false">ROUND(AVERAGE(P9,Q9,R9,S9,V9),0)</f>
        <v>13</v>
      </c>
      <c r="X9" s="9" t="n">
        <f aca="false">ROUND(AVERAGE(N9,W9),0)</f>
        <v>12</v>
      </c>
    </row>
    <row r="10" customFormat="false" ht="15.65" hidden="true" customHeight="false" outlineLevel="0" collapsed="false">
      <c r="A10" s="1" t="n">
        <v>8</v>
      </c>
      <c r="B10" s="3" t="s">
        <v>50</v>
      </c>
      <c r="C10" s="1" t="n">
        <v>9</v>
      </c>
      <c r="D10" s="1" t="n">
        <v>10</v>
      </c>
      <c r="E10" s="1" t="n">
        <v>10</v>
      </c>
      <c r="F10" s="1" t="n">
        <v>10</v>
      </c>
      <c r="H10" s="1" t="n">
        <v>1</v>
      </c>
      <c r="I10" s="1" t="n">
        <f aca="false">F10+H10/2</f>
        <v>10.5</v>
      </c>
      <c r="J10" s="1" t="n">
        <f aca="false">ROUND(AVERAGE(C10:E10,I10),0)</f>
        <v>10</v>
      </c>
      <c r="K10" s="9" t="str">
        <f aca="false">IF(J10&lt;7,"TEP","TEA")</f>
        <v>TEA</v>
      </c>
      <c r="L10" s="1" t="n">
        <v>10</v>
      </c>
      <c r="M10" s="1" t="n">
        <v>9</v>
      </c>
      <c r="N10" s="9" t="n">
        <f aca="false">ROUND(AVERAGE(M10,L10,J10),0)</f>
        <v>10</v>
      </c>
      <c r="O10" s="1" t="s">
        <v>19</v>
      </c>
      <c r="P10" s="1" t="n">
        <v>9</v>
      </c>
      <c r="Q10" s="1" t="n">
        <v>10</v>
      </c>
      <c r="R10" s="1" t="n">
        <v>8</v>
      </c>
      <c r="S10" s="1" t="n">
        <v>10</v>
      </c>
      <c r="T10" s="1" t="n">
        <v>9</v>
      </c>
      <c r="U10" s="1" t="n">
        <v>10</v>
      </c>
      <c r="V10" s="1" t="n">
        <f aca="false">T10+U10/2</f>
        <v>14</v>
      </c>
      <c r="W10" s="9" t="n">
        <f aca="false">ROUND(AVERAGE(P10,Q10,R10,S10,V10),0)</f>
        <v>10</v>
      </c>
      <c r="X10" s="9" t="n">
        <f aca="false">ROUND(AVERAGE(N10,W10),0)</f>
        <v>10</v>
      </c>
    </row>
    <row r="11" s="11" customFormat="true" ht="15.65" hidden="false" customHeight="false" outlineLevel="0" collapsed="false">
      <c r="A11" s="2" t="n">
        <v>9</v>
      </c>
      <c r="B11" s="11" t="s">
        <v>57</v>
      </c>
      <c r="C11" s="2" t="n">
        <v>9</v>
      </c>
      <c r="D11" s="2" t="n">
        <v>10</v>
      </c>
      <c r="E11" s="2" t="n">
        <v>10</v>
      </c>
      <c r="F11" s="2" t="n">
        <v>6</v>
      </c>
      <c r="G11" s="2"/>
      <c r="H11" s="2" t="n">
        <v>3</v>
      </c>
      <c r="I11" s="2" t="n">
        <f aca="false">F11+H11/2</f>
        <v>7.5</v>
      </c>
      <c r="J11" s="2" t="n">
        <f aca="false">ROUND(AVERAGE(C11:E11,I11),0)</f>
        <v>9</v>
      </c>
      <c r="K11" s="15" t="str">
        <f aca="false">IF(J11&lt;7,"TEP","TEA")</f>
        <v>TEA</v>
      </c>
      <c r="L11" s="2" t="n">
        <v>8.75</v>
      </c>
      <c r="M11" s="2" t="n">
        <v>7</v>
      </c>
      <c r="N11" s="15" t="n">
        <f aca="false">ROUND(AVERAGE(M11,L11,J11),0)</f>
        <v>8</v>
      </c>
      <c r="O11" s="2" t="s">
        <v>20</v>
      </c>
      <c r="P11" s="2" t="n">
        <v>8</v>
      </c>
      <c r="Q11" s="2" t="n">
        <v>6</v>
      </c>
      <c r="R11" s="11" t="n">
        <v>7</v>
      </c>
      <c r="S11" s="2" t="n">
        <v>6</v>
      </c>
      <c r="T11" s="2" t="n">
        <v>4</v>
      </c>
      <c r="U11" s="2" t="n">
        <v>0</v>
      </c>
      <c r="V11" s="2" t="n">
        <f aca="false">T11+U11/2</f>
        <v>4</v>
      </c>
      <c r="W11" s="15" t="n">
        <f aca="false">ROUND(AVERAGE(P11,Q11,R11,S11,V11),0)</f>
        <v>6</v>
      </c>
      <c r="X11" s="2" t="n">
        <v>6</v>
      </c>
      <c r="AD11" s="11" t="n">
        <v>4</v>
      </c>
    </row>
    <row r="12" customFormat="false" ht="15.65" hidden="true" customHeight="false" outlineLevel="0" collapsed="false">
      <c r="A12" s="1" t="n">
        <v>10</v>
      </c>
      <c r="B12" s="3" t="s">
        <v>60</v>
      </c>
      <c r="C12" s="1" t="n">
        <v>1</v>
      </c>
      <c r="D12" s="1" t="n">
        <v>10</v>
      </c>
      <c r="E12" s="1" t="n">
        <v>1</v>
      </c>
      <c r="F12" s="18" t="n">
        <v>7</v>
      </c>
      <c r="G12" s="19" t="n">
        <v>45856</v>
      </c>
      <c r="H12" s="18" t="n">
        <v>23</v>
      </c>
      <c r="I12" s="1" t="n">
        <f aca="false">F12+H12/2</f>
        <v>18.5</v>
      </c>
      <c r="J12" s="1" t="n">
        <f aca="false">ROUND(AVERAGE(C12:E12,I12),0)</f>
        <v>8</v>
      </c>
      <c r="K12" s="9" t="str">
        <f aca="false">IF(J12&lt;7,"TEP","TEA")</f>
        <v>TEA</v>
      </c>
      <c r="L12" s="1" t="n">
        <v>4.5</v>
      </c>
      <c r="M12" s="1" t="n">
        <v>7</v>
      </c>
      <c r="N12" s="9" t="n">
        <f aca="false">ROUND(AVERAGE(M12,L12,J12),0)</f>
        <v>7</v>
      </c>
      <c r="O12" s="1" t="s">
        <v>20</v>
      </c>
      <c r="P12" s="1" t="n">
        <v>7</v>
      </c>
      <c r="Q12" s="1" t="n">
        <v>6</v>
      </c>
      <c r="R12" s="1" t="n">
        <v>7</v>
      </c>
      <c r="S12" s="1" t="n">
        <v>7</v>
      </c>
      <c r="T12" s="1" t="n">
        <v>9</v>
      </c>
      <c r="U12" s="1" t="n">
        <v>7</v>
      </c>
      <c r="V12" s="1" t="n">
        <f aca="false">T12+U12/2</f>
        <v>12.5</v>
      </c>
      <c r="W12" s="9" t="n">
        <f aca="false">ROUND(AVERAGE(P12,Q12,R12,S12,V12),0)</f>
        <v>8</v>
      </c>
      <c r="X12" s="9" t="n">
        <f aca="false">ROUND(AVERAGE(N12,W12),0)</f>
        <v>8</v>
      </c>
      <c r="Y12" s="1" t="n">
        <v>1</v>
      </c>
      <c r="Z12" s="1" t="n">
        <v>1</v>
      </c>
      <c r="AA12" s="1" t="n">
        <v>1</v>
      </c>
      <c r="AB12" s="1" t="n">
        <v>1</v>
      </c>
    </row>
    <row r="13" customFormat="false" ht="15.65" hidden="true" customHeight="false" outlineLevel="0" collapsed="false">
      <c r="A13" s="1" t="n">
        <v>11</v>
      </c>
      <c r="B13" s="3" t="s">
        <v>64</v>
      </c>
      <c r="C13" s="1" t="n">
        <v>10</v>
      </c>
      <c r="D13" s="1" t="n">
        <v>10</v>
      </c>
      <c r="E13" s="1" t="n">
        <v>9</v>
      </c>
      <c r="F13" s="1" t="n">
        <v>9</v>
      </c>
      <c r="H13" s="1" t="n">
        <v>2</v>
      </c>
      <c r="I13" s="1" t="n">
        <f aca="false">F13+H13/2</f>
        <v>10</v>
      </c>
      <c r="J13" s="1" t="n">
        <f aca="false">ROUND(AVERAGE(C13:E13,I13),0)</f>
        <v>10</v>
      </c>
      <c r="K13" s="9" t="str">
        <f aca="false">IF(J13&lt;7,"TEP","TEA")</f>
        <v>TEA</v>
      </c>
      <c r="L13" s="1" t="n">
        <v>8.75</v>
      </c>
      <c r="M13" s="1" t="n">
        <v>7</v>
      </c>
      <c r="N13" s="9" t="n">
        <f aca="false">ROUND(AVERAGE(M13,L13,J13),0)</f>
        <v>9</v>
      </c>
      <c r="O13" s="1" t="s">
        <v>20</v>
      </c>
      <c r="P13" s="1" t="n">
        <v>8</v>
      </c>
      <c r="Q13" s="1" t="n">
        <v>6</v>
      </c>
      <c r="R13" s="1" t="n">
        <v>8</v>
      </c>
      <c r="S13" s="1" t="n">
        <v>7</v>
      </c>
      <c r="T13" s="1" t="n">
        <v>6</v>
      </c>
      <c r="U13" s="1" t="n">
        <v>15</v>
      </c>
      <c r="V13" s="1" t="n">
        <f aca="false">T13+U13/2</f>
        <v>13.5</v>
      </c>
      <c r="W13" s="9" t="n">
        <f aca="false">ROUND(AVERAGE(P13,Q13,R13,S13,V13),0)</f>
        <v>9</v>
      </c>
      <c r="X13" s="9" t="n">
        <f aca="false">ROUND(AVERAGE(N13,W13),0)</f>
        <v>9</v>
      </c>
    </row>
    <row r="14" customFormat="false" ht="15.65" hidden="true" customHeight="false" outlineLevel="0" collapsed="false">
      <c r="A14" s="1" t="n">
        <v>12</v>
      </c>
      <c r="B14" s="3" t="s">
        <v>67</v>
      </c>
      <c r="C14" s="1" t="n">
        <v>8</v>
      </c>
      <c r="D14" s="1" t="n">
        <v>10</v>
      </c>
      <c r="E14" s="1" t="n">
        <v>8</v>
      </c>
      <c r="F14" s="2" t="n">
        <v>5</v>
      </c>
      <c r="G14" s="4" t="n">
        <v>45776</v>
      </c>
      <c r="H14" s="1" t="n">
        <v>3</v>
      </c>
      <c r="I14" s="1" t="n">
        <f aca="false">F14+H14/2</f>
        <v>6.5</v>
      </c>
      <c r="J14" s="1" t="n">
        <f aca="false">ROUND(AVERAGE(C14:E14,I14),0)</f>
        <v>8</v>
      </c>
      <c r="K14" s="9" t="str">
        <f aca="false">IF(J14&lt;7,"TEP","TEA")</f>
        <v>TEA</v>
      </c>
      <c r="L14" s="1" t="n">
        <v>9</v>
      </c>
      <c r="M14" s="1" t="n">
        <v>9</v>
      </c>
      <c r="N14" s="9" t="n">
        <f aca="false">ROUND(AVERAGE(M14,L14,J14),0)</f>
        <v>9</v>
      </c>
      <c r="O14" s="1" t="s">
        <v>20</v>
      </c>
      <c r="P14" s="1" t="n">
        <v>8</v>
      </c>
      <c r="Q14" s="1" t="n">
        <v>8</v>
      </c>
      <c r="R14" s="1" t="n">
        <v>7</v>
      </c>
      <c r="S14" s="1" t="n">
        <v>7</v>
      </c>
      <c r="T14" s="1" t="n">
        <v>10</v>
      </c>
      <c r="U14" s="1" t="n">
        <v>10</v>
      </c>
      <c r="V14" s="1" t="n">
        <f aca="false">T14+U14/2</f>
        <v>15</v>
      </c>
      <c r="W14" s="9" t="n">
        <f aca="false">ROUND(AVERAGE(P14,Q14,R14,S14,V14),0)</f>
        <v>9</v>
      </c>
      <c r="X14" s="9" t="n">
        <f aca="false">ROUND(AVERAGE(N14,W14),0)</f>
        <v>9</v>
      </c>
    </row>
    <row r="15" customFormat="false" ht="15.65" hidden="true" customHeight="false" outlineLevel="0" collapsed="false">
      <c r="A15" s="1" t="n">
        <v>13</v>
      </c>
      <c r="B15" s="3" t="s">
        <v>70</v>
      </c>
      <c r="C15" s="1" t="n">
        <v>9</v>
      </c>
      <c r="D15" s="1" t="n">
        <v>10</v>
      </c>
      <c r="E15" s="1" t="n">
        <v>10</v>
      </c>
      <c r="F15" s="1" t="n">
        <v>10</v>
      </c>
      <c r="H15" s="1" t="n">
        <v>3</v>
      </c>
      <c r="I15" s="1" t="n">
        <f aca="false">F15+H15/2</f>
        <v>11.5</v>
      </c>
      <c r="J15" s="1" t="n">
        <f aca="false">ROUND(AVERAGE(C15:E15,I15),0)</f>
        <v>10</v>
      </c>
      <c r="K15" s="9" t="str">
        <f aca="false">IF(J15&lt;7,"TEP","TEA")</f>
        <v>TEA</v>
      </c>
      <c r="L15" s="1" t="n">
        <v>10</v>
      </c>
      <c r="M15" s="1" t="n">
        <v>8</v>
      </c>
      <c r="N15" s="9" t="n">
        <f aca="false">ROUND(AVERAGE(M15,L15,J15),0)</f>
        <v>9</v>
      </c>
      <c r="O15" s="1" t="s">
        <v>20</v>
      </c>
      <c r="P15" s="1" t="n">
        <v>9</v>
      </c>
      <c r="Q15" s="1" t="n">
        <v>6</v>
      </c>
      <c r="R15" s="1" t="n">
        <v>8</v>
      </c>
      <c r="S15" s="1" t="n">
        <v>10</v>
      </c>
      <c r="T15" s="1" t="n">
        <v>9</v>
      </c>
      <c r="U15" s="1" t="n">
        <v>0</v>
      </c>
      <c r="V15" s="1" t="n">
        <f aca="false">T15+U15/2</f>
        <v>9</v>
      </c>
      <c r="W15" s="9" t="n">
        <f aca="false">ROUND(AVERAGE(P15,Q15,R15,S15,V15),0)</f>
        <v>8</v>
      </c>
      <c r="X15" s="9" t="n">
        <f aca="false">ROUND(AVERAGE(N15,W15),0)</f>
        <v>9</v>
      </c>
    </row>
    <row r="16" customFormat="false" ht="15.65" hidden="true" customHeight="false" outlineLevel="0" collapsed="false">
      <c r="A16" s="1" t="n">
        <v>14</v>
      </c>
      <c r="B16" s="3" t="s">
        <v>73</v>
      </c>
      <c r="C16" s="1" t="n">
        <v>10</v>
      </c>
      <c r="D16" s="1" t="n">
        <v>10</v>
      </c>
      <c r="E16" s="1" t="n">
        <v>8</v>
      </c>
      <c r="F16" s="2" t="n">
        <v>7</v>
      </c>
      <c r="G16" s="4" t="n">
        <v>45784</v>
      </c>
      <c r="H16" s="1" t="n">
        <v>1</v>
      </c>
      <c r="I16" s="1" t="n">
        <f aca="false">F16+H16/2</f>
        <v>7.5</v>
      </c>
      <c r="J16" s="1" t="n">
        <f aca="false">ROUND(AVERAGE(C16:E16,I16),0)</f>
        <v>9</v>
      </c>
      <c r="K16" s="9" t="str">
        <f aca="false">IF(J16&lt;7,"TEP","TEA")</f>
        <v>TEA</v>
      </c>
      <c r="L16" s="1" t="n">
        <v>8</v>
      </c>
      <c r="M16" s="1" t="n">
        <v>9</v>
      </c>
      <c r="N16" s="9" t="n">
        <f aca="false">ROUND(AVERAGE(M16,L16,J16),0)</f>
        <v>9</v>
      </c>
      <c r="O16" s="1" t="s">
        <v>20</v>
      </c>
      <c r="P16" s="1" t="n">
        <v>10</v>
      </c>
      <c r="Q16" s="1" t="n">
        <v>10</v>
      </c>
      <c r="R16" s="1" t="n">
        <v>9</v>
      </c>
      <c r="S16" s="1" t="n">
        <v>7</v>
      </c>
      <c r="T16" s="1" t="n">
        <v>10</v>
      </c>
      <c r="U16" s="1" t="n">
        <v>20</v>
      </c>
      <c r="V16" s="1" t="n">
        <f aca="false">T16+U16/2</f>
        <v>20</v>
      </c>
      <c r="W16" s="9" t="n">
        <f aca="false">ROUND(AVERAGE(P16,Q16,R16,S16,V16),0)</f>
        <v>11</v>
      </c>
      <c r="X16" s="9" t="n">
        <f aca="false">ROUND(AVERAGE(N16,W16),0)</f>
        <v>10</v>
      </c>
    </row>
    <row r="17" s="11" customFormat="true" ht="15.65" hidden="false" customHeight="false" outlineLevel="0" collapsed="false">
      <c r="A17" s="2" t="n">
        <v>15</v>
      </c>
      <c r="B17" s="11" t="s">
        <v>77</v>
      </c>
      <c r="C17" s="2" t="n">
        <v>4</v>
      </c>
      <c r="D17" s="2" t="n">
        <v>10</v>
      </c>
      <c r="E17" s="2" t="n">
        <v>7</v>
      </c>
      <c r="F17" s="2" t="n">
        <v>1</v>
      </c>
      <c r="G17" s="2"/>
      <c r="H17" s="2" t="n">
        <v>0</v>
      </c>
      <c r="I17" s="2" t="n">
        <f aca="false">F17+H17/2</f>
        <v>1</v>
      </c>
      <c r="J17" s="2" t="n">
        <f aca="false">ROUND(AVERAGE(C17:E17,I17),0)</f>
        <v>6</v>
      </c>
      <c r="K17" s="15" t="str">
        <f aca="false">IF(J17&lt;7,"TEP","TEA")</f>
        <v>TEP</v>
      </c>
      <c r="L17" s="2" t="n">
        <v>8</v>
      </c>
      <c r="M17" s="2" t="n">
        <v>6</v>
      </c>
      <c r="N17" s="15" t="n">
        <f aca="false">ROUND(AVERAGE(M17,L17,J17),0)</f>
        <v>7</v>
      </c>
      <c r="O17" s="2" t="s">
        <v>20</v>
      </c>
      <c r="P17" s="2" t="n">
        <v>1</v>
      </c>
      <c r="Q17" s="2" t="n">
        <v>10</v>
      </c>
      <c r="R17" s="11" t="n">
        <v>1</v>
      </c>
      <c r="S17" s="2" t="n">
        <v>10</v>
      </c>
      <c r="T17" s="2" t="n">
        <v>8</v>
      </c>
      <c r="U17" s="2" t="n">
        <v>20</v>
      </c>
      <c r="V17" s="2" t="n">
        <f aca="false">T17+U17/2</f>
        <v>18</v>
      </c>
      <c r="W17" s="15" t="n">
        <f aca="false">ROUND(AVERAGE(P17,Q17,R17,S17,V17),0)</f>
        <v>8</v>
      </c>
      <c r="X17" s="2" t="n">
        <v>6</v>
      </c>
      <c r="Y17" s="2" t="n">
        <v>1</v>
      </c>
      <c r="Z17" s="2" t="n">
        <v>1</v>
      </c>
      <c r="AA17" s="2" t="n">
        <v>1</v>
      </c>
      <c r="AB17" s="2" t="n">
        <v>1</v>
      </c>
      <c r="AD17" s="11" t="n">
        <v>5</v>
      </c>
    </row>
    <row r="18" customFormat="false" ht="15.65" hidden="true" customHeight="false" outlineLevel="0" collapsed="false">
      <c r="A18" s="1" t="n">
        <v>16</v>
      </c>
      <c r="B18" s="3" t="s">
        <v>81</v>
      </c>
      <c r="C18" s="1" t="n">
        <v>9</v>
      </c>
      <c r="D18" s="1" t="n">
        <v>10</v>
      </c>
      <c r="E18" s="1" t="n">
        <v>10</v>
      </c>
      <c r="F18" s="1" t="n">
        <v>1</v>
      </c>
      <c r="H18" s="1" t="n">
        <v>0</v>
      </c>
      <c r="I18" s="1" t="n">
        <f aca="false">F18+H18/2</f>
        <v>1</v>
      </c>
      <c r="J18" s="1" t="n">
        <f aca="false">ROUND(AVERAGE(C18:E18,I18),0)</f>
        <v>8</v>
      </c>
      <c r="K18" s="9" t="str">
        <f aca="false">IF(J18&lt;7,"TEP","TEA")</f>
        <v>TEA</v>
      </c>
      <c r="L18" s="1" t="n">
        <v>8.75</v>
      </c>
      <c r="M18" s="1" t="n">
        <v>9</v>
      </c>
      <c r="N18" s="9" t="n">
        <f aca="false">ROUND(AVERAGE(M18,L18,J18),0)</f>
        <v>9</v>
      </c>
      <c r="O18" s="1" t="s">
        <v>20</v>
      </c>
      <c r="P18" s="2" t="n">
        <v>5</v>
      </c>
      <c r="Q18" s="1" t="n">
        <v>6</v>
      </c>
      <c r="R18" s="1" t="n">
        <v>7</v>
      </c>
      <c r="S18" s="1" t="n">
        <v>7</v>
      </c>
      <c r="T18" s="1" t="n">
        <v>9</v>
      </c>
      <c r="U18" s="1" t="n">
        <v>5</v>
      </c>
      <c r="V18" s="1" t="n">
        <f aca="false">T18+U18/2</f>
        <v>11.5</v>
      </c>
      <c r="W18" s="9" t="n">
        <f aca="false">ROUND(AVERAGE(P18,Q18,R18,S18,V18),0)</f>
        <v>7</v>
      </c>
      <c r="X18" s="9" t="n">
        <f aca="false">ROUND(AVERAGE(N18,W18),0)</f>
        <v>8</v>
      </c>
      <c r="AB18" s="1" t="n">
        <v>1</v>
      </c>
    </row>
    <row r="19" s="11" customFormat="true" ht="15.65" hidden="false" customHeight="false" outlineLevel="0" collapsed="false">
      <c r="A19" s="2" t="n">
        <v>17</v>
      </c>
      <c r="B19" s="11" t="s">
        <v>84</v>
      </c>
      <c r="C19" s="2" t="n">
        <v>10</v>
      </c>
      <c r="D19" s="2" t="n">
        <v>7</v>
      </c>
      <c r="E19" s="2" t="n">
        <v>8</v>
      </c>
      <c r="F19" s="2" t="n">
        <v>7</v>
      </c>
      <c r="G19" s="5" t="n">
        <v>45784</v>
      </c>
      <c r="H19" s="2" t="n">
        <v>4</v>
      </c>
      <c r="I19" s="2" t="n">
        <f aca="false">F19+H19/2</f>
        <v>9</v>
      </c>
      <c r="J19" s="2" t="n">
        <f aca="false">ROUND(AVERAGE(C19:E19,I19),0)</f>
        <v>9</v>
      </c>
      <c r="K19" s="15" t="str">
        <f aca="false">IF(J19&lt;7,"TEP","TEA")</f>
        <v>TEA</v>
      </c>
      <c r="L19" s="2" t="n">
        <v>8.75</v>
      </c>
      <c r="M19" s="2" t="n">
        <v>7</v>
      </c>
      <c r="N19" s="15" t="n">
        <f aca="false">ROUND(AVERAGE(M19,L19,J19),0)</f>
        <v>8</v>
      </c>
      <c r="O19" s="2" t="s">
        <v>20</v>
      </c>
      <c r="P19" s="2" t="n">
        <v>1</v>
      </c>
      <c r="Q19" s="2" t="n">
        <v>1</v>
      </c>
      <c r="R19" s="11" t="n">
        <v>7</v>
      </c>
      <c r="S19" s="11" t="n">
        <v>7</v>
      </c>
      <c r="T19" s="2" t="n">
        <v>9</v>
      </c>
      <c r="U19" s="2" t="n">
        <v>10</v>
      </c>
      <c r="V19" s="2" t="n">
        <f aca="false">T19+U19/2</f>
        <v>14</v>
      </c>
      <c r="W19" s="15" t="n">
        <f aca="false">ROUND(AVERAGE(P19,Q19,R19,S19,V19),0)</f>
        <v>6</v>
      </c>
      <c r="X19" s="2" t="n">
        <v>6</v>
      </c>
      <c r="Z19" s="2" t="n">
        <v>1</v>
      </c>
      <c r="AA19" s="2" t="n">
        <v>1</v>
      </c>
      <c r="AB19" s="2" t="n">
        <v>1</v>
      </c>
      <c r="AD19" s="11" t="n">
        <v>4</v>
      </c>
    </row>
    <row r="20" customFormat="false" ht="15.65" hidden="true" customHeight="false" outlineLevel="0" collapsed="false">
      <c r="A20" s="1" t="n">
        <v>18</v>
      </c>
      <c r="B20" s="3" t="s">
        <v>87</v>
      </c>
      <c r="C20" s="1" t="n">
        <v>9</v>
      </c>
      <c r="D20" s="1" t="n">
        <v>10</v>
      </c>
      <c r="E20" s="1" t="n">
        <v>9</v>
      </c>
      <c r="F20" s="1" t="n">
        <v>10</v>
      </c>
      <c r="H20" s="1" t="n">
        <v>0</v>
      </c>
      <c r="I20" s="1" t="n">
        <f aca="false">F20+H20/2</f>
        <v>10</v>
      </c>
      <c r="J20" s="1" t="n">
        <f aca="false">ROUND(AVERAGE(C20:E20,I20),0)</f>
        <v>10</v>
      </c>
      <c r="K20" s="9" t="str">
        <f aca="false">IF(J20&lt;7,"TEP","TEA")</f>
        <v>TEA</v>
      </c>
      <c r="L20" s="1" t="n">
        <v>9.5</v>
      </c>
      <c r="M20" s="1" t="n">
        <v>9</v>
      </c>
      <c r="N20" s="9" t="n">
        <f aca="false">ROUND(AVERAGE(M20,L20,J20),0)</f>
        <v>10</v>
      </c>
      <c r="O20" s="1" t="s">
        <v>20</v>
      </c>
      <c r="P20" s="1" t="n">
        <v>10</v>
      </c>
      <c r="Q20" s="1" t="n">
        <v>6</v>
      </c>
      <c r="R20" s="1" t="n">
        <v>8</v>
      </c>
      <c r="S20" s="1" t="n">
        <v>10</v>
      </c>
      <c r="T20" s="1" t="n">
        <v>9</v>
      </c>
      <c r="U20" s="1" t="n">
        <v>10</v>
      </c>
      <c r="V20" s="1" t="n">
        <f aca="false">T20+U20/2</f>
        <v>14</v>
      </c>
      <c r="W20" s="9" t="n">
        <f aca="false">ROUND(AVERAGE(P20,Q20,R20,S20,V20),0)</f>
        <v>10</v>
      </c>
      <c r="X20" s="9" t="n">
        <f aca="false">ROUND(AVERAGE(N20,W20),0)</f>
        <v>10</v>
      </c>
    </row>
    <row r="21" customFormat="false" ht="15.65" hidden="true" customHeight="false" outlineLevel="0" collapsed="false">
      <c r="A21" s="1" t="n">
        <v>19</v>
      </c>
      <c r="B21" s="3" t="s">
        <v>90</v>
      </c>
      <c r="C21" s="1" t="n">
        <v>7</v>
      </c>
      <c r="D21" s="1" t="n">
        <v>10</v>
      </c>
      <c r="E21" s="1" t="n">
        <v>7</v>
      </c>
      <c r="F21" s="2" t="n">
        <v>8</v>
      </c>
      <c r="G21" s="4" t="n">
        <v>45784</v>
      </c>
      <c r="H21" s="1" t="n">
        <v>2</v>
      </c>
      <c r="I21" s="1" t="n">
        <f aca="false">F21+H21/2</f>
        <v>9</v>
      </c>
      <c r="J21" s="1" t="n">
        <f aca="false">ROUND(AVERAGE(C21:E21,I21),0)</f>
        <v>8</v>
      </c>
      <c r="K21" s="9" t="str">
        <f aca="false">IF(J21&lt;7,"TEP","TEA")</f>
        <v>TEA</v>
      </c>
      <c r="L21" s="1" t="n">
        <v>8.75</v>
      </c>
      <c r="M21" s="1" t="n">
        <v>7</v>
      </c>
      <c r="N21" s="9" t="n">
        <f aca="false">ROUND(AVERAGE(M21,L21,J21),0)</f>
        <v>8</v>
      </c>
      <c r="O21" s="1" t="s">
        <v>20</v>
      </c>
      <c r="P21" s="1" t="n">
        <v>1</v>
      </c>
      <c r="Q21" s="1" t="n">
        <v>6</v>
      </c>
      <c r="R21" s="1" t="n">
        <v>7</v>
      </c>
      <c r="S21" s="1" t="n">
        <v>7</v>
      </c>
      <c r="T21" s="1" t="n">
        <v>8</v>
      </c>
      <c r="U21" s="1" t="n">
        <v>7</v>
      </c>
      <c r="V21" s="1" t="n">
        <f aca="false">T21+U21/2</f>
        <v>11.5</v>
      </c>
      <c r="W21" s="9" t="n">
        <f aca="false">ROUND(AVERAGE(P21,Q21,R21,S21,V21),0)</f>
        <v>7</v>
      </c>
      <c r="X21" s="9" t="n">
        <f aca="false">ROUND(AVERAGE(N21,W21),0)</f>
        <v>8</v>
      </c>
    </row>
    <row r="22" customFormat="false" ht="15.65" hidden="true" customHeight="false" outlineLevel="0" collapsed="false">
      <c r="A22" s="1" t="n">
        <v>20</v>
      </c>
      <c r="B22" s="3" t="s">
        <v>93</v>
      </c>
      <c r="C22" s="1" t="n">
        <v>10</v>
      </c>
      <c r="D22" s="1" t="n">
        <v>9</v>
      </c>
      <c r="E22" s="1" t="n">
        <v>10</v>
      </c>
      <c r="F22" s="1" t="n">
        <v>1</v>
      </c>
      <c r="H22" s="1" t="n">
        <v>4</v>
      </c>
      <c r="I22" s="1" t="n">
        <f aca="false">F22+H22/2</f>
        <v>3</v>
      </c>
      <c r="J22" s="1" t="n">
        <f aca="false">ROUND(AVERAGE(C22:E22,I22),0)</f>
        <v>8</v>
      </c>
      <c r="K22" s="9" t="str">
        <f aca="false">IF(J22&lt;7,"TEP","TEA")</f>
        <v>TEA</v>
      </c>
      <c r="L22" s="1" t="n">
        <v>8.25</v>
      </c>
      <c r="M22" s="1" t="n">
        <v>9</v>
      </c>
      <c r="N22" s="9" t="n">
        <f aca="false">ROUND(AVERAGE(M22,L22,J22),0)</f>
        <v>8</v>
      </c>
      <c r="O22" s="1" t="s">
        <v>20</v>
      </c>
      <c r="P22" s="1" t="n">
        <v>3</v>
      </c>
      <c r="Q22" s="1" t="n">
        <v>6</v>
      </c>
      <c r="R22" s="1" t="n">
        <v>8</v>
      </c>
      <c r="S22" s="1" t="n">
        <v>7</v>
      </c>
      <c r="T22" s="1" t="n">
        <v>8</v>
      </c>
      <c r="U22" s="1" t="n">
        <v>5</v>
      </c>
      <c r="V22" s="1" t="n">
        <f aca="false">T22+U22/2</f>
        <v>10.5</v>
      </c>
      <c r="W22" s="9" t="n">
        <f aca="false">ROUND(AVERAGE(P22,Q22,R22,S22,V22),0)</f>
        <v>7</v>
      </c>
      <c r="X22" s="9" t="n">
        <f aca="false">ROUND(AVERAGE(N22,W22),0)</f>
        <v>8</v>
      </c>
    </row>
    <row r="23" customFormat="false" ht="15.65" hidden="true" customHeight="false" outlineLevel="0" collapsed="false">
      <c r="A23" s="1" t="n">
        <v>21</v>
      </c>
      <c r="B23" s="3" t="s">
        <v>96</v>
      </c>
      <c r="C23" s="1" t="n">
        <v>10</v>
      </c>
      <c r="D23" s="1" t="n">
        <v>9</v>
      </c>
      <c r="E23" s="1" t="n">
        <v>0</v>
      </c>
      <c r="F23" s="2" t="n">
        <v>6</v>
      </c>
      <c r="G23" s="4" t="n">
        <v>45784</v>
      </c>
      <c r="H23" s="1" t="n">
        <v>2</v>
      </c>
      <c r="I23" s="1" t="n">
        <f aca="false">F23+H23/2</f>
        <v>7</v>
      </c>
      <c r="J23" s="1" t="n">
        <f aca="false">ROUND(AVERAGE(C23:E23,I23),0)</f>
        <v>7</v>
      </c>
      <c r="K23" s="9" t="str">
        <f aca="false">IF(J23&lt;7,"TEP","TEA")</f>
        <v>TEA</v>
      </c>
      <c r="L23" s="1" t="n">
        <v>8.75</v>
      </c>
      <c r="M23" s="1" t="n">
        <v>8</v>
      </c>
      <c r="N23" s="9" t="n">
        <f aca="false">ROUND(AVERAGE(M23,L23,J23),0)</f>
        <v>8</v>
      </c>
      <c r="O23" s="1" t="s">
        <v>20</v>
      </c>
      <c r="P23" s="1" t="n">
        <v>5</v>
      </c>
      <c r="Q23" s="1" t="n">
        <v>6</v>
      </c>
      <c r="R23" s="1" t="n">
        <v>7</v>
      </c>
      <c r="S23" s="1" t="n">
        <v>7</v>
      </c>
      <c r="T23" s="1" t="n">
        <v>8</v>
      </c>
      <c r="U23" s="1" t="n">
        <v>7</v>
      </c>
      <c r="V23" s="1" t="n">
        <f aca="false">T23+U23/2</f>
        <v>11.5</v>
      </c>
      <c r="W23" s="9" t="n">
        <f aca="false">ROUND(AVERAGE(P23,Q23,R23,S23,V23),0)</f>
        <v>7</v>
      </c>
      <c r="X23" s="9" t="n">
        <f aca="false">ROUND(AVERAGE(N23,W23),0)</f>
        <v>8</v>
      </c>
      <c r="AB23" s="1" t="n">
        <v>1</v>
      </c>
    </row>
    <row r="24" customFormat="false" ht="15.65" hidden="true" customHeight="false" outlineLevel="0" collapsed="false">
      <c r="A24" s="1" t="n">
        <v>22</v>
      </c>
      <c r="B24" s="3" t="s">
        <v>99</v>
      </c>
      <c r="C24" s="1" t="n">
        <v>10</v>
      </c>
      <c r="D24" s="1" t="n">
        <v>10</v>
      </c>
      <c r="E24" s="1" t="n">
        <v>10</v>
      </c>
      <c r="F24" s="1" t="n">
        <v>10</v>
      </c>
      <c r="H24" s="1" t="n">
        <v>3</v>
      </c>
      <c r="I24" s="1" t="n">
        <f aca="false">F24+H24/2</f>
        <v>11.5</v>
      </c>
      <c r="J24" s="1" t="n">
        <f aca="false">ROUND(AVERAGE(C24:E24,I24),0)</f>
        <v>10</v>
      </c>
      <c r="K24" s="9" t="str">
        <f aca="false">IF(J24&lt;7,"TEP","TEA")</f>
        <v>TEA</v>
      </c>
      <c r="L24" s="1" t="n">
        <v>4.25</v>
      </c>
      <c r="M24" s="1" t="n">
        <v>6</v>
      </c>
      <c r="N24" s="9" t="n">
        <f aca="false">ROUND(AVERAGE(M24,L24,J24),0)</f>
        <v>7</v>
      </c>
      <c r="O24" s="1" t="s">
        <v>20</v>
      </c>
      <c r="P24" s="1" t="n">
        <v>9</v>
      </c>
      <c r="Q24" s="1" t="n">
        <v>5</v>
      </c>
      <c r="R24" s="1" t="n">
        <v>8</v>
      </c>
      <c r="S24" s="1" t="n">
        <v>8</v>
      </c>
      <c r="T24" s="1" t="n">
        <v>7</v>
      </c>
      <c r="U24" s="1" t="n">
        <v>7</v>
      </c>
      <c r="V24" s="1" t="n">
        <f aca="false">T24+U24/2</f>
        <v>10.5</v>
      </c>
      <c r="W24" s="9" t="n">
        <f aca="false">ROUND(AVERAGE(P24,Q24,R24,S24,V24),0)</f>
        <v>8</v>
      </c>
      <c r="X24" s="9" t="n">
        <f aca="false">ROUND(AVERAGE(N24,W24),0)</f>
        <v>8</v>
      </c>
    </row>
    <row r="25" customFormat="false" ht="15.65" hidden="true" customHeight="false" outlineLevel="0" collapsed="false">
      <c r="A25" s="1" t="n">
        <v>23</v>
      </c>
      <c r="B25" s="3" t="s">
        <v>102</v>
      </c>
      <c r="C25" s="1" t="n">
        <v>10</v>
      </c>
      <c r="D25" s="1" t="n">
        <v>9</v>
      </c>
      <c r="E25" s="1" t="n">
        <v>9</v>
      </c>
      <c r="F25" s="1" t="n">
        <v>6</v>
      </c>
      <c r="H25" s="1" t="n">
        <v>0</v>
      </c>
      <c r="I25" s="1" t="n">
        <f aca="false">F25+H25/2</f>
        <v>6</v>
      </c>
      <c r="J25" s="1" t="n">
        <f aca="false">ROUND(AVERAGE(C25:E25,I25),0)</f>
        <v>9</v>
      </c>
      <c r="K25" s="9" t="str">
        <f aca="false">IF(J25&lt;7,"TEP","TEA")</f>
        <v>TEA</v>
      </c>
      <c r="L25" s="1" t="n">
        <v>7</v>
      </c>
      <c r="M25" s="1" t="n">
        <v>9</v>
      </c>
      <c r="N25" s="9" t="n">
        <f aca="false">ROUND(AVERAGE(M25,L25,J25),0)</f>
        <v>8</v>
      </c>
      <c r="O25" s="1" t="s">
        <v>20</v>
      </c>
      <c r="P25" s="1" t="n">
        <v>3</v>
      </c>
      <c r="Q25" s="1" t="n">
        <v>3</v>
      </c>
      <c r="R25" s="1" t="n">
        <v>8</v>
      </c>
      <c r="S25" s="1" t="n">
        <v>8</v>
      </c>
      <c r="T25" s="1" t="n">
        <v>10</v>
      </c>
      <c r="U25" s="1" t="n">
        <v>19</v>
      </c>
      <c r="V25" s="1" t="n">
        <f aca="false">T25+U25/2</f>
        <v>19.5</v>
      </c>
      <c r="W25" s="9" t="n">
        <f aca="false">ROUND(AVERAGE(P25,Q25,R25,S25,V25),0)</f>
        <v>8</v>
      </c>
      <c r="X25" s="9" t="n">
        <f aca="false">ROUND(AVERAGE(N25,W25),0)</f>
        <v>8</v>
      </c>
      <c r="Y25" s="1" t="n">
        <v>1</v>
      </c>
      <c r="Z25" s="1" t="n">
        <v>1</v>
      </c>
      <c r="AA25" s="1" t="n">
        <v>1</v>
      </c>
      <c r="AB25" s="1" t="n">
        <v>1</v>
      </c>
    </row>
    <row r="26" customFormat="false" ht="15" hidden="false" customHeight="false" outlineLevel="0" collapsed="false">
      <c r="O26" s="1" t="n">
        <f aca="false">COUNTIF(O3:O25,"P")</f>
        <v>21</v>
      </c>
    </row>
  </sheetData>
  <conditionalFormatting sqref="K3:K25">
    <cfRule type="cellIs" priority="2" operator="equal" aboveAverage="0" equalAverage="0" bottom="0" percent="0" rank="0" text="" dxfId="3">
      <formula>"TEP"</formula>
    </cfRule>
  </conditionalFormatting>
  <conditionalFormatting sqref="N3:N25">
    <cfRule type="cellIs" priority="3" operator="greaterThan" aboveAverage="0" equalAverage="0" bottom="0" percent="0" rank="0" text="" dxfId="4">
      <formula>6</formula>
    </cfRule>
  </conditionalFormatting>
  <conditionalFormatting sqref="W3:W25">
    <cfRule type="cellIs" priority="4" operator="greaterThan" aboveAverage="0" equalAverage="0" bottom="0" percent="0" rank="0" text="" dxfId="5">
      <formula>6</formula>
    </cfRule>
    <cfRule type="cellIs" priority="5" operator="between" aboveAverage="0" equalAverage="0" bottom="0" percent="0" rank="0" text="" dxfId="6">
      <formula>4</formula>
      <formula>6</formula>
    </cfRule>
    <cfRule type="cellIs" priority="6" operator="lessThan" aboveAverage="0" equalAverage="0" bottom="0" percent="0" rank="0" text="" dxfId="7">
      <formula>4</formula>
    </cfRule>
  </conditionalFormatting>
  <conditionalFormatting sqref="X3:X25">
    <cfRule type="cellIs" priority="7" operator="greaterThan" aboveAverage="0" equalAverage="0" bottom="0" percent="0" rank="0" text="" dxfId="5">
      <formula>6</formula>
    </cfRule>
    <cfRule type="cellIs" priority="8" operator="between" aboveAverage="0" equalAverage="0" bottom="0" percent="0" rank="0" text="" dxfId="6">
      <formula>4</formula>
      <formula>6</formula>
    </cfRule>
    <cfRule type="cellIs" priority="9" operator="equal" aboveAverage="0" equalAverage="0" bottom="0" percent="0" rank="0" text="" dxfId="8">
      <formula>0</formula>
    </cfRule>
    <cfRule type="cellIs" priority="10" operator="lessThan" aboveAverage="0" equalAverage="0" bottom="0" percent="0" rank="0" text="" dxfId="7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2" activeCellId="0" sqref="I2"/>
    </sheetView>
  </sheetViews>
  <sheetFormatPr defaultColWidth="9.7968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7.25"/>
    <col collapsed="false" customWidth="false" hidden="true" outlineLevel="0" max="6" min="3" style="1" width="9.79"/>
    <col collapsed="false" customWidth="true" hidden="false" outlineLevel="0" max="16384" min="16371" style="1" width="10.58"/>
  </cols>
  <sheetData>
    <row r="1" customFormat="false" ht="15" hidden="false" customHeight="false" outlineLevel="0" collapsed="false">
      <c r="A1" s="1" t="s">
        <v>1</v>
      </c>
      <c r="B1" s="3" t="s">
        <v>3</v>
      </c>
      <c r="C1" s="4" t="n">
        <v>45737</v>
      </c>
      <c r="D1" s="4" t="n">
        <v>45742</v>
      </c>
      <c r="E1" s="4" t="n">
        <v>45751</v>
      </c>
      <c r="F1" s="1" t="s">
        <v>116</v>
      </c>
      <c r="G1" s="6" t="s">
        <v>13</v>
      </c>
      <c r="H1" s="6" t="s">
        <v>133</v>
      </c>
      <c r="I1" s="6" t="s">
        <v>116</v>
      </c>
      <c r="J1" s="6"/>
      <c r="K1" s="6"/>
      <c r="L1" s="6"/>
      <c r="M1" s="6"/>
      <c r="N1" s="6"/>
      <c r="O1" s="6"/>
    </row>
    <row r="2" customFormat="false" ht="15" hidden="false" customHeight="false" outlineLevel="0" collapsed="false">
      <c r="A2" s="1" t="n">
        <v>1</v>
      </c>
      <c r="B2" s="3" t="s">
        <v>17</v>
      </c>
      <c r="C2" s="1" t="n">
        <v>2</v>
      </c>
      <c r="D2" s="1" t="n">
        <v>2</v>
      </c>
      <c r="F2" s="1" t="n">
        <f aca="false">SUM(C2:E2)</f>
        <v>4</v>
      </c>
      <c r="I2" s="3" t="n">
        <f aca="false">SUM(G2:H2)</f>
        <v>0</v>
      </c>
    </row>
    <row r="3" customFormat="false" ht="15" hidden="false" customHeight="false" outlineLevel="0" collapsed="false">
      <c r="A3" s="1" t="n">
        <v>2</v>
      </c>
      <c r="B3" s="3" t="s">
        <v>22</v>
      </c>
      <c r="C3" s="1" t="n">
        <v>1</v>
      </c>
      <c r="F3" s="1" t="n">
        <f aca="false">SUM(C3:E3)</f>
        <v>1</v>
      </c>
      <c r="G3" s="1" t="n">
        <v>7</v>
      </c>
      <c r="H3" s="1" t="n">
        <v>12</v>
      </c>
      <c r="I3" s="3" t="n">
        <f aca="false">SUM(G3:H3)</f>
        <v>19</v>
      </c>
    </row>
    <row r="4" customFormat="false" ht="15" hidden="false" customHeight="false" outlineLevel="0" collapsed="false">
      <c r="A4" s="1" t="n">
        <v>3</v>
      </c>
      <c r="B4" s="3" t="s">
        <v>27</v>
      </c>
      <c r="C4" s="1" t="n">
        <v>3</v>
      </c>
      <c r="F4" s="1" t="n">
        <f aca="false">SUM(C4:E4)</f>
        <v>3</v>
      </c>
      <c r="I4" s="3" t="n">
        <f aca="false">SUM(G4:H4)</f>
        <v>0</v>
      </c>
    </row>
    <row r="5" customFormat="false" ht="15" hidden="false" customHeight="false" outlineLevel="0" collapsed="false">
      <c r="A5" s="1" t="n">
        <v>4</v>
      </c>
      <c r="B5" s="3" t="s">
        <v>33</v>
      </c>
      <c r="F5" s="1" t="n">
        <f aca="false">SUM(C5:E5)</f>
        <v>0</v>
      </c>
      <c r="G5" s="1" t="n">
        <v>10</v>
      </c>
      <c r="H5" s="1" t="n">
        <v>10</v>
      </c>
      <c r="I5" s="3" t="n">
        <f aca="false">SUM(G5:H5)</f>
        <v>20</v>
      </c>
    </row>
    <row r="6" customFormat="false" ht="15" hidden="false" customHeight="false" outlineLevel="0" collapsed="false">
      <c r="A6" s="1" t="n">
        <v>5</v>
      </c>
      <c r="B6" s="3" t="s">
        <v>40</v>
      </c>
      <c r="F6" s="1" t="n">
        <f aca="false">SUM(C6:E6)</f>
        <v>0</v>
      </c>
      <c r="I6" s="3" t="n">
        <f aca="false">SUM(G6:H6)</f>
        <v>0</v>
      </c>
    </row>
    <row r="7" customFormat="false" ht="15" hidden="false" customHeight="false" outlineLevel="0" collapsed="false">
      <c r="A7" s="1" t="n">
        <v>6</v>
      </c>
      <c r="B7" s="3" t="s">
        <v>43</v>
      </c>
      <c r="C7" s="1" t="n">
        <v>2</v>
      </c>
      <c r="F7" s="1" t="n">
        <f aca="false">SUM(C7:E7)</f>
        <v>2</v>
      </c>
      <c r="G7" s="1" t="n">
        <v>5</v>
      </c>
      <c r="I7" s="3" t="n">
        <f aca="false">SUM(G7:H7)</f>
        <v>5</v>
      </c>
    </row>
    <row r="8" customFormat="false" ht="15" hidden="false" customHeight="false" outlineLevel="0" collapsed="false">
      <c r="A8" s="1" t="n">
        <v>7</v>
      </c>
      <c r="B8" s="3" t="s">
        <v>46</v>
      </c>
      <c r="C8" s="1" t="n">
        <v>2</v>
      </c>
      <c r="F8" s="1" t="n">
        <f aca="false">SUM(C8:E8)</f>
        <v>2</v>
      </c>
      <c r="G8" s="1" t="n">
        <v>40</v>
      </c>
      <c r="H8" s="1" t="n">
        <v>10</v>
      </c>
      <c r="I8" s="3" t="n">
        <f aca="false">SUM(G8:H8)</f>
        <v>50</v>
      </c>
    </row>
    <row r="9" customFormat="false" ht="15" hidden="false" customHeight="false" outlineLevel="0" collapsed="false">
      <c r="A9" s="1" t="n">
        <v>8</v>
      </c>
      <c r="B9" s="3" t="s">
        <v>50</v>
      </c>
      <c r="D9" s="1" t="n">
        <v>1</v>
      </c>
      <c r="F9" s="1" t="n">
        <f aca="false">SUM(C9:E9)</f>
        <v>1</v>
      </c>
      <c r="H9" s="1" t="n">
        <v>10</v>
      </c>
      <c r="I9" s="3" t="n">
        <f aca="false">SUM(G9:H9)</f>
        <v>10</v>
      </c>
    </row>
    <row r="10" customFormat="false" ht="15" hidden="false" customHeight="false" outlineLevel="0" collapsed="false">
      <c r="A10" s="1" t="n">
        <v>9</v>
      </c>
      <c r="B10" s="3" t="s">
        <v>57</v>
      </c>
      <c r="C10" s="1" t="n">
        <v>2</v>
      </c>
      <c r="D10" s="1" t="n">
        <v>1</v>
      </c>
      <c r="F10" s="1" t="n">
        <f aca="false">SUM(C10:E10)</f>
        <v>3</v>
      </c>
      <c r="I10" s="3" t="n">
        <f aca="false">SUM(G10:H10)</f>
        <v>0</v>
      </c>
    </row>
    <row r="11" customFormat="false" ht="15" hidden="false" customHeight="false" outlineLevel="0" collapsed="false">
      <c r="A11" s="1" t="n">
        <v>10</v>
      </c>
      <c r="B11" s="3" t="s">
        <v>60</v>
      </c>
      <c r="C11" s="1" t="n">
        <v>3</v>
      </c>
      <c r="F11" s="1" t="n">
        <f aca="false">SUM(C11:E11)</f>
        <v>3</v>
      </c>
      <c r="G11" s="1" t="n">
        <v>7</v>
      </c>
      <c r="I11" s="3" t="n">
        <f aca="false">SUM(G11:H11)</f>
        <v>7</v>
      </c>
    </row>
    <row r="12" customFormat="false" ht="15" hidden="false" customHeight="false" outlineLevel="0" collapsed="false">
      <c r="A12" s="1" t="n">
        <v>11</v>
      </c>
      <c r="B12" s="3" t="s">
        <v>64</v>
      </c>
      <c r="C12" s="1" t="n">
        <v>2</v>
      </c>
      <c r="F12" s="1" t="n">
        <f aca="false">SUM(C12:E12)</f>
        <v>2</v>
      </c>
      <c r="G12" s="1" t="n">
        <v>5</v>
      </c>
      <c r="H12" s="1" t="n">
        <v>10</v>
      </c>
      <c r="I12" s="3" t="n">
        <f aca="false">SUM(G12:H12)</f>
        <v>15</v>
      </c>
    </row>
    <row r="13" customFormat="false" ht="15" hidden="false" customHeight="false" outlineLevel="0" collapsed="false">
      <c r="A13" s="1" t="n">
        <v>12</v>
      </c>
      <c r="B13" s="3" t="s">
        <v>67</v>
      </c>
      <c r="C13" s="1" t="n">
        <v>3</v>
      </c>
      <c r="F13" s="1" t="n">
        <f aca="false">SUM(C13:E13)</f>
        <v>3</v>
      </c>
      <c r="H13" s="1" t="n">
        <v>10</v>
      </c>
      <c r="I13" s="3" t="n">
        <f aca="false">SUM(G13:H13)</f>
        <v>10</v>
      </c>
    </row>
    <row r="14" customFormat="false" ht="15" hidden="false" customHeight="false" outlineLevel="0" collapsed="false">
      <c r="A14" s="1" t="n">
        <v>13</v>
      </c>
      <c r="B14" s="3" t="s">
        <v>70</v>
      </c>
      <c r="C14" s="1" t="n">
        <v>3</v>
      </c>
      <c r="F14" s="1" t="n">
        <f aca="false">SUM(C14:E14)</f>
        <v>3</v>
      </c>
      <c r="I14" s="3" t="n">
        <f aca="false">SUM(G14:H14)</f>
        <v>0</v>
      </c>
    </row>
    <row r="15" customFormat="false" ht="15" hidden="false" customHeight="false" outlineLevel="0" collapsed="false">
      <c r="A15" s="1" t="n">
        <v>14</v>
      </c>
      <c r="B15" s="3" t="s">
        <v>73</v>
      </c>
      <c r="D15" s="1" t="n">
        <v>1</v>
      </c>
      <c r="F15" s="1" t="n">
        <f aca="false">SUM(C15:E15)</f>
        <v>1</v>
      </c>
      <c r="G15" s="1" t="n">
        <v>20</v>
      </c>
      <c r="I15" s="3" t="n">
        <f aca="false">SUM(G15:H15)</f>
        <v>20</v>
      </c>
    </row>
    <row r="16" customFormat="false" ht="15" hidden="false" customHeight="false" outlineLevel="0" collapsed="false">
      <c r="A16" s="1" t="n">
        <v>15</v>
      </c>
      <c r="B16" s="3" t="s">
        <v>77</v>
      </c>
      <c r="F16" s="1" t="n">
        <f aca="false">SUM(C16:E16)</f>
        <v>0</v>
      </c>
      <c r="G16" s="1" t="n">
        <v>20</v>
      </c>
      <c r="I16" s="3" t="n">
        <f aca="false">SUM(G16:H16)</f>
        <v>20</v>
      </c>
    </row>
    <row r="17" customFormat="false" ht="15" hidden="false" customHeight="false" outlineLevel="0" collapsed="false">
      <c r="A17" s="1" t="n">
        <v>16</v>
      </c>
      <c r="B17" s="3" t="s">
        <v>81</v>
      </c>
      <c r="F17" s="1" t="n">
        <f aca="false">SUM(C17:E17)</f>
        <v>0</v>
      </c>
      <c r="G17" s="1" t="n">
        <v>5</v>
      </c>
      <c r="I17" s="3" t="n">
        <f aca="false">SUM(G17:H17)</f>
        <v>5</v>
      </c>
    </row>
    <row r="18" customFormat="false" ht="15" hidden="false" customHeight="false" outlineLevel="0" collapsed="false">
      <c r="A18" s="1" t="n">
        <v>17</v>
      </c>
      <c r="B18" s="3" t="s">
        <v>84</v>
      </c>
      <c r="C18" s="1" t="n">
        <v>2</v>
      </c>
      <c r="D18" s="1" t="n">
        <v>2</v>
      </c>
      <c r="F18" s="1" t="n">
        <f aca="false">SUM(C18:E18)</f>
        <v>4</v>
      </c>
      <c r="G18" s="1" t="n">
        <v>10</v>
      </c>
      <c r="I18" s="3" t="n">
        <f aca="false">SUM(G18:H18)</f>
        <v>10</v>
      </c>
    </row>
    <row r="19" customFormat="false" ht="15" hidden="false" customHeight="false" outlineLevel="0" collapsed="false">
      <c r="A19" s="1" t="n">
        <v>18</v>
      </c>
      <c r="B19" s="3" t="s">
        <v>87</v>
      </c>
      <c r="F19" s="1" t="n">
        <f aca="false">SUM(C19:E19)</f>
        <v>0</v>
      </c>
      <c r="H19" s="1" t="n">
        <v>10</v>
      </c>
      <c r="I19" s="3" t="n">
        <f aca="false">SUM(G19:H19)</f>
        <v>10</v>
      </c>
    </row>
    <row r="20" customFormat="false" ht="15" hidden="false" customHeight="false" outlineLevel="0" collapsed="false">
      <c r="A20" s="1" t="n">
        <v>19</v>
      </c>
      <c r="B20" s="3" t="s">
        <v>90</v>
      </c>
      <c r="C20" s="1" t="n">
        <v>3</v>
      </c>
      <c r="E20" s="1" t="n">
        <v>-1</v>
      </c>
      <c r="F20" s="1" t="n">
        <f aca="false">SUM(C20:E20)</f>
        <v>2</v>
      </c>
      <c r="G20" s="1" t="n">
        <v>7</v>
      </c>
      <c r="I20" s="3" t="n">
        <f aca="false">SUM(G20:H20)</f>
        <v>7</v>
      </c>
    </row>
    <row r="21" customFormat="false" ht="15" hidden="false" customHeight="false" outlineLevel="0" collapsed="false">
      <c r="A21" s="1" t="n">
        <v>20</v>
      </c>
      <c r="B21" s="3" t="s">
        <v>93</v>
      </c>
      <c r="C21" s="1" t="n">
        <v>2</v>
      </c>
      <c r="D21" s="1" t="n">
        <v>2</v>
      </c>
      <c r="F21" s="1" t="n">
        <f aca="false">SUM(C21:E21)</f>
        <v>4</v>
      </c>
      <c r="G21" s="1" t="n">
        <v>5</v>
      </c>
      <c r="I21" s="3" t="n">
        <f aca="false">SUM(G21:H21)</f>
        <v>5</v>
      </c>
    </row>
    <row r="22" customFormat="false" ht="15" hidden="false" customHeight="false" outlineLevel="0" collapsed="false">
      <c r="A22" s="1" t="n">
        <v>21</v>
      </c>
      <c r="B22" s="3" t="s">
        <v>96</v>
      </c>
      <c r="C22" s="1" t="n">
        <v>3</v>
      </c>
      <c r="E22" s="1" t="n">
        <v>-1</v>
      </c>
      <c r="F22" s="1" t="n">
        <f aca="false">SUM(C22:E22)</f>
        <v>2</v>
      </c>
      <c r="G22" s="1" t="n">
        <v>7</v>
      </c>
      <c r="I22" s="3" t="n">
        <f aca="false">SUM(G22:H22)</f>
        <v>7</v>
      </c>
    </row>
    <row r="23" customFormat="false" ht="15" hidden="false" customHeight="false" outlineLevel="0" collapsed="false">
      <c r="A23" s="1" t="n">
        <v>22</v>
      </c>
      <c r="B23" s="3" t="s">
        <v>99</v>
      </c>
      <c r="C23" s="1" t="n">
        <v>3</v>
      </c>
      <c r="F23" s="1" t="n">
        <f aca="false">SUM(C23:E23)</f>
        <v>3</v>
      </c>
      <c r="G23" s="1" t="n">
        <v>7</v>
      </c>
      <c r="I23" s="3" t="n">
        <f aca="false">SUM(G23:H23)</f>
        <v>7</v>
      </c>
    </row>
    <row r="24" customFormat="false" ht="15" hidden="false" customHeight="false" outlineLevel="0" collapsed="false">
      <c r="A24" s="1" t="n">
        <v>23</v>
      </c>
      <c r="B24" s="3" t="s">
        <v>102</v>
      </c>
      <c r="F24" s="1" t="n">
        <f aca="false">SUM(C24:E24)</f>
        <v>0</v>
      </c>
      <c r="G24" s="1" t="n">
        <v>7</v>
      </c>
      <c r="H24" s="1" t="n">
        <v>12</v>
      </c>
      <c r="I24" s="3" t="n">
        <f aca="false">SUM(G24:H24)</f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0" activeCellId="0" sqref="G20"/>
    </sheetView>
  </sheetViews>
  <sheetFormatPr defaultColWidth="9.796875" defaultRowHeight="15" zeroHeight="false" outlineLevelRow="0" outlineLevelCol="0"/>
  <cols>
    <col collapsed="false" customWidth="true" hidden="false" outlineLevel="0" max="2" min="2" style="1" width="17.25"/>
    <col collapsed="false" customWidth="true" hidden="false" outlineLevel="0" max="3" min="3" style="1" width="15.9"/>
    <col collapsed="false" customWidth="true" hidden="false" outlineLevel="0" max="4" min="4" style="1" width="24.34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134</v>
      </c>
      <c r="E1" s="1" t="s">
        <v>135</v>
      </c>
      <c r="F1" s="1" t="s">
        <v>136</v>
      </c>
      <c r="G1" s="1" t="s">
        <v>118</v>
      </c>
      <c r="H1" s="1" t="s">
        <v>137</v>
      </c>
      <c r="I1" s="1" t="s">
        <v>127</v>
      </c>
    </row>
    <row r="2" customFormat="false" ht="15" hidden="false" customHeight="false" outlineLevel="0" collapsed="false">
      <c r="A2" s="1" t="n">
        <v>1</v>
      </c>
      <c r="B2" s="3" t="s">
        <v>17</v>
      </c>
      <c r="C2" s="1" t="s">
        <v>17</v>
      </c>
      <c r="D2" s="1" t="s">
        <v>138</v>
      </c>
      <c r="E2" s="1" t="s">
        <v>139</v>
      </c>
      <c r="F2" s="1" t="n">
        <v>9</v>
      </c>
      <c r="I2" s="1" t="n">
        <v>9</v>
      </c>
    </row>
    <row r="3" customFormat="false" ht="15" hidden="false" customHeight="false" outlineLevel="0" collapsed="false">
      <c r="A3" s="1" t="n">
        <v>2</v>
      </c>
      <c r="B3" s="3" t="s">
        <v>22</v>
      </c>
      <c r="C3" s="1" t="s">
        <v>22</v>
      </c>
      <c r="D3" s="1" t="s">
        <v>140</v>
      </c>
      <c r="E3" s="1" t="s">
        <v>141</v>
      </c>
      <c r="F3" s="1" t="n">
        <v>8</v>
      </c>
      <c r="I3" s="1" t="n">
        <v>8</v>
      </c>
    </row>
    <row r="4" customFormat="false" ht="15" hidden="false" customHeight="false" outlineLevel="0" collapsed="false">
      <c r="A4" s="1" t="n">
        <v>3</v>
      </c>
      <c r="B4" s="3" t="s">
        <v>27</v>
      </c>
      <c r="C4" s="1" t="s">
        <v>27</v>
      </c>
      <c r="D4" s="1" t="s">
        <v>142</v>
      </c>
      <c r="E4" s="1" t="s">
        <v>143</v>
      </c>
      <c r="F4" s="1" t="n">
        <v>8</v>
      </c>
      <c r="I4" s="1" t="n">
        <v>8</v>
      </c>
    </row>
    <row r="5" customFormat="false" ht="15" hidden="false" customHeight="false" outlineLevel="0" collapsed="false">
      <c r="A5" s="1" t="n">
        <v>4</v>
      </c>
      <c r="B5" s="3" t="s">
        <v>33</v>
      </c>
      <c r="C5" s="1" t="s">
        <v>33</v>
      </c>
      <c r="D5" s="1" t="s">
        <v>144</v>
      </c>
      <c r="E5" s="1" t="s">
        <v>145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3" t="s">
        <v>40</v>
      </c>
      <c r="C6" s="1" t="s">
        <v>40</v>
      </c>
      <c r="D6" s="1" t="s">
        <v>146</v>
      </c>
      <c r="E6" s="1" t="s">
        <v>147</v>
      </c>
      <c r="F6" s="1" t="n">
        <v>9</v>
      </c>
      <c r="I6" s="1" t="n">
        <v>9</v>
      </c>
    </row>
    <row r="7" customFormat="false" ht="15" hidden="false" customHeight="false" outlineLevel="0" collapsed="false">
      <c r="A7" s="1" t="n">
        <v>6</v>
      </c>
      <c r="B7" s="3" t="s">
        <v>43</v>
      </c>
      <c r="C7" s="1" t="s">
        <v>43</v>
      </c>
      <c r="D7" s="1" t="s">
        <v>148</v>
      </c>
      <c r="E7" s="1" t="s">
        <v>149</v>
      </c>
      <c r="F7" s="1" t="n">
        <v>9</v>
      </c>
      <c r="I7" s="1" t="n">
        <v>9</v>
      </c>
    </row>
    <row r="8" customFormat="false" ht="15" hidden="false" customHeight="false" outlineLevel="0" collapsed="false">
      <c r="A8" s="1" t="n">
        <v>7</v>
      </c>
      <c r="B8" s="3" t="s">
        <v>46</v>
      </c>
      <c r="C8" s="1" t="s">
        <v>46</v>
      </c>
      <c r="D8" s="1" t="s">
        <v>150</v>
      </c>
      <c r="E8" s="1" t="s">
        <v>151</v>
      </c>
      <c r="F8" s="1" t="n">
        <v>9</v>
      </c>
      <c r="I8" s="1" t="n">
        <v>9</v>
      </c>
    </row>
    <row r="9" customFormat="false" ht="15" hidden="false" customHeight="false" outlineLevel="0" collapsed="false">
      <c r="A9" s="1" t="n">
        <v>8</v>
      </c>
      <c r="B9" s="3" t="s">
        <v>50</v>
      </c>
      <c r="C9" s="1" t="s">
        <v>50</v>
      </c>
      <c r="D9" s="1" t="s">
        <v>152</v>
      </c>
      <c r="E9" s="1" t="s">
        <v>153</v>
      </c>
      <c r="F9" s="1" t="n">
        <v>9</v>
      </c>
      <c r="I9" s="1" t="n">
        <v>9</v>
      </c>
    </row>
    <row r="10" customFormat="false" ht="15" hidden="false" customHeight="false" outlineLevel="0" collapsed="false">
      <c r="A10" s="1" t="n">
        <v>9</v>
      </c>
      <c r="B10" s="3" t="s">
        <v>57</v>
      </c>
      <c r="C10" s="1" t="s">
        <v>57</v>
      </c>
      <c r="D10" s="1" t="s">
        <v>154</v>
      </c>
      <c r="E10" s="1" t="s">
        <v>155</v>
      </c>
      <c r="F10" s="1" t="n">
        <v>9</v>
      </c>
      <c r="I10" s="1" t="n">
        <v>9</v>
      </c>
    </row>
    <row r="11" customFormat="false" ht="15" hidden="false" customHeight="false" outlineLevel="0" collapsed="false">
      <c r="A11" s="1" t="n">
        <v>10</v>
      </c>
      <c r="B11" s="3" t="s">
        <v>60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3" t="s">
        <v>64</v>
      </c>
      <c r="C12" s="1" t="s">
        <v>64</v>
      </c>
      <c r="D12" s="1" t="s">
        <v>156</v>
      </c>
      <c r="E12" s="1" t="s">
        <v>157</v>
      </c>
      <c r="F12" s="1" t="n">
        <v>10</v>
      </c>
      <c r="I12" s="1" t="n">
        <v>10</v>
      </c>
    </row>
    <row r="13" customFormat="false" ht="15" hidden="false" customHeight="false" outlineLevel="0" collapsed="false">
      <c r="A13" s="1" t="n">
        <v>12</v>
      </c>
      <c r="B13" s="3" t="s">
        <v>67</v>
      </c>
      <c r="C13" s="1" t="s">
        <v>67</v>
      </c>
      <c r="D13" s="1" t="s">
        <v>158</v>
      </c>
      <c r="E13" s="1" t="s">
        <v>159</v>
      </c>
      <c r="F13" s="1" t="n">
        <v>8</v>
      </c>
      <c r="I13" s="1" t="n">
        <v>8</v>
      </c>
    </row>
    <row r="14" customFormat="false" ht="15" hidden="false" customHeight="false" outlineLevel="0" collapsed="false">
      <c r="A14" s="1" t="n">
        <v>13</v>
      </c>
      <c r="B14" s="3" t="s">
        <v>70</v>
      </c>
      <c r="C14" s="1" t="s">
        <v>70</v>
      </c>
      <c r="D14" s="1" t="s">
        <v>160</v>
      </c>
      <c r="E14" s="1" t="s">
        <v>161</v>
      </c>
      <c r="F14" s="1" t="n">
        <v>9</v>
      </c>
      <c r="I14" s="1" t="n">
        <v>9</v>
      </c>
    </row>
    <row r="15" customFormat="false" ht="15" hidden="false" customHeight="false" outlineLevel="0" collapsed="false">
      <c r="A15" s="1" t="n">
        <v>14</v>
      </c>
      <c r="B15" s="3" t="s">
        <v>73</v>
      </c>
      <c r="C15" s="1" t="s">
        <v>73</v>
      </c>
      <c r="D15" s="1" t="s">
        <v>162</v>
      </c>
      <c r="E15" s="1" t="s">
        <v>163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15</v>
      </c>
      <c r="B16" s="3" t="s">
        <v>77</v>
      </c>
      <c r="C16" s="1" t="s">
        <v>77</v>
      </c>
      <c r="D16" s="1" t="s">
        <v>164</v>
      </c>
      <c r="E16" s="1" t="s">
        <v>165</v>
      </c>
      <c r="F16" s="1" t="n">
        <v>4</v>
      </c>
      <c r="I16" s="1" t="n">
        <v>4</v>
      </c>
    </row>
    <row r="17" customFormat="false" ht="15" hidden="false" customHeight="false" outlineLevel="0" collapsed="false">
      <c r="A17" s="1" t="n">
        <v>16</v>
      </c>
      <c r="B17" s="3" t="s">
        <v>81</v>
      </c>
      <c r="C17" s="1" t="s">
        <v>81</v>
      </c>
      <c r="D17" s="1" t="s">
        <v>166</v>
      </c>
      <c r="E17" s="1" t="s">
        <v>167</v>
      </c>
      <c r="F17" s="1" t="n">
        <v>9</v>
      </c>
      <c r="I17" s="1" t="n">
        <v>9</v>
      </c>
    </row>
    <row r="18" customFormat="false" ht="15" hidden="false" customHeight="false" outlineLevel="0" collapsed="false">
      <c r="A18" s="1" t="n">
        <v>17</v>
      </c>
      <c r="B18" s="3" t="s">
        <v>84</v>
      </c>
      <c r="C18" s="1" t="s">
        <v>84</v>
      </c>
      <c r="D18" s="1" t="s">
        <v>168</v>
      </c>
      <c r="E18" s="1" t="s">
        <v>169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18</v>
      </c>
      <c r="B19" s="3" t="s">
        <v>87</v>
      </c>
      <c r="C19" s="1" t="s">
        <v>87</v>
      </c>
      <c r="D19" s="1" t="s">
        <v>170</v>
      </c>
      <c r="E19" s="1" t="s">
        <v>169</v>
      </c>
      <c r="F19" s="1" t="n">
        <v>9</v>
      </c>
      <c r="I19" s="1" t="n">
        <v>9</v>
      </c>
    </row>
    <row r="20" customFormat="false" ht="15" hidden="false" customHeight="false" outlineLevel="0" collapsed="false">
      <c r="A20" s="1" t="n">
        <v>19</v>
      </c>
      <c r="B20" s="3" t="s">
        <v>90</v>
      </c>
      <c r="C20" s="1" t="s">
        <v>90</v>
      </c>
      <c r="D20" s="1" t="s">
        <v>171</v>
      </c>
      <c r="E20" s="1" t="s">
        <v>172</v>
      </c>
      <c r="F20" s="1" t="n">
        <v>9</v>
      </c>
      <c r="G20" s="1" t="n">
        <f aca="false">AVERAGE(F20:F22)</f>
        <v>6.66666666666667</v>
      </c>
      <c r="H20" s="1" t="n">
        <v>2</v>
      </c>
      <c r="I20" s="1" t="n">
        <f aca="false">ROUND(MAX(H20,G20),0)</f>
        <v>7</v>
      </c>
    </row>
    <row r="21" customFormat="false" ht="15" hidden="false" customHeight="false" outlineLevel="0" collapsed="false">
      <c r="C21" s="1" t="s">
        <v>90</v>
      </c>
      <c r="D21" s="1" t="s">
        <v>173</v>
      </c>
      <c r="E21" s="1" t="s">
        <v>151</v>
      </c>
      <c r="F21" s="1" t="n">
        <v>9</v>
      </c>
    </row>
    <row r="22" customFormat="false" ht="15" hidden="false" customHeight="false" outlineLevel="0" collapsed="false">
      <c r="C22" s="1" t="s">
        <v>90</v>
      </c>
      <c r="D22" s="1" t="s">
        <v>174</v>
      </c>
      <c r="E22" s="1" t="s">
        <v>175</v>
      </c>
      <c r="F22" s="1" t="n">
        <v>2</v>
      </c>
    </row>
    <row r="23" customFormat="false" ht="15" hidden="false" customHeight="false" outlineLevel="0" collapsed="false">
      <c r="A23" s="1" t="n">
        <v>20</v>
      </c>
      <c r="B23" s="3" t="s">
        <v>93</v>
      </c>
      <c r="C23" s="1" t="s">
        <v>93</v>
      </c>
      <c r="D23" s="1" t="s">
        <v>176</v>
      </c>
      <c r="E23" s="1" t="s">
        <v>177</v>
      </c>
      <c r="F23" s="1" t="n">
        <v>10</v>
      </c>
      <c r="I23" s="1" t="n">
        <v>10</v>
      </c>
    </row>
    <row r="24" customFormat="false" ht="15" hidden="false" customHeight="false" outlineLevel="0" collapsed="false">
      <c r="A24" s="1" t="n">
        <v>21</v>
      </c>
      <c r="B24" s="3" t="s">
        <v>96</v>
      </c>
      <c r="C24" s="1" t="s">
        <v>96</v>
      </c>
      <c r="D24" s="1" t="s">
        <v>178</v>
      </c>
      <c r="E24" s="1" t="s">
        <v>179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22</v>
      </c>
      <c r="B25" s="3" t="s">
        <v>99</v>
      </c>
      <c r="C25" s="1" t="s">
        <v>99</v>
      </c>
      <c r="D25" s="1" t="s">
        <v>180</v>
      </c>
      <c r="E25" s="1" t="s">
        <v>181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23</v>
      </c>
      <c r="B26" s="3" t="s">
        <v>102</v>
      </c>
      <c r="C26" s="1" t="s">
        <v>102</v>
      </c>
      <c r="D26" s="1" t="s">
        <v>182</v>
      </c>
      <c r="E26" s="1" t="s">
        <v>183</v>
      </c>
      <c r="F26" s="1" t="n">
        <v>10</v>
      </c>
      <c r="I26" s="1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F2" activeCellId="0" sqref="F2"/>
    </sheetView>
  </sheetViews>
  <sheetFormatPr defaultColWidth="9.79687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7.25"/>
    <col collapsed="false" customWidth="true" hidden="false" outlineLevel="0" max="4" min="4" style="1" width="24.34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134</v>
      </c>
      <c r="E1" s="1" t="s">
        <v>135</v>
      </c>
      <c r="F1" s="1" t="s">
        <v>136</v>
      </c>
    </row>
    <row r="2" customFormat="false" ht="15" hidden="false" customHeight="false" outlineLevel="0" collapsed="false">
      <c r="A2" s="1" t="n">
        <v>1</v>
      </c>
      <c r="B2" s="3" t="s">
        <v>17</v>
      </c>
      <c r="C2" s="1" t="s">
        <v>17</v>
      </c>
      <c r="D2" s="1" t="s">
        <v>184</v>
      </c>
      <c r="E2" s="1" t="s">
        <v>185</v>
      </c>
      <c r="F2" s="1" t="n">
        <v>10</v>
      </c>
    </row>
    <row r="3" customFormat="false" ht="15" hidden="false" customHeight="false" outlineLevel="0" collapsed="false">
      <c r="A3" s="1" t="n">
        <v>2</v>
      </c>
      <c r="B3" s="3" t="s">
        <v>22</v>
      </c>
      <c r="C3" s="1" t="s">
        <v>22</v>
      </c>
      <c r="D3" s="1" t="s">
        <v>186</v>
      </c>
      <c r="E3" s="1" t="s">
        <v>187</v>
      </c>
      <c r="F3" s="1" t="n">
        <v>8</v>
      </c>
    </row>
    <row r="4" customFormat="false" ht="15" hidden="false" customHeight="false" outlineLevel="0" collapsed="false">
      <c r="A4" s="1" t="n">
        <v>3</v>
      </c>
      <c r="B4" s="3" t="s">
        <v>27</v>
      </c>
      <c r="C4" s="1" t="s">
        <v>27</v>
      </c>
      <c r="D4" s="1" t="s">
        <v>188</v>
      </c>
      <c r="E4" s="1" t="s">
        <v>189</v>
      </c>
      <c r="F4" s="1" t="n">
        <v>9</v>
      </c>
    </row>
    <row r="5" customFormat="false" ht="15" hidden="false" customHeight="false" outlineLevel="0" collapsed="false">
      <c r="A5" s="1" t="n">
        <v>4</v>
      </c>
      <c r="B5" s="3" t="s">
        <v>33</v>
      </c>
      <c r="C5" s="1" t="s">
        <v>33</v>
      </c>
      <c r="D5" s="1" t="s">
        <v>188</v>
      </c>
      <c r="E5" s="1" t="s">
        <v>190</v>
      </c>
      <c r="F5" s="1" t="n">
        <v>9</v>
      </c>
    </row>
    <row r="6" customFormat="false" ht="15" hidden="false" customHeight="false" outlineLevel="0" collapsed="false">
      <c r="A6" s="1" t="n">
        <v>5</v>
      </c>
      <c r="B6" s="3" t="s">
        <v>40</v>
      </c>
      <c r="C6" s="1" t="s">
        <v>40</v>
      </c>
      <c r="D6" s="1" t="s">
        <v>191</v>
      </c>
      <c r="E6" s="1" t="s">
        <v>192</v>
      </c>
      <c r="F6" s="1" t="n">
        <v>10</v>
      </c>
    </row>
    <row r="7" customFormat="false" ht="15" hidden="false" customHeight="false" outlineLevel="0" collapsed="false">
      <c r="A7" s="1" t="n">
        <v>6</v>
      </c>
      <c r="B7" s="3" t="s">
        <v>43</v>
      </c>
      <c r="C7" s="1" t="s">
        <v>43</v>
      </c>
      <c r="D7" s="1" t="s">
        <v>193</v>
      </c>
      <c r="E7" s="1" t="s">
        <v>194</v>
      </c>
      <c r="F7" s="1" t="n">
        <v>10</v>
      </c>
    </row>
    <row r="8" customFormat="false" ht="15" hidden="false" customHeight="false" outlineLevel="0" collapsed="false">
      <c r="A8" s="1" t="n">
        <v>7</v>
      </c>
      <c r="B8" s="3" t="s">
        <v>46</v>
      </c>
      <c r="C8" s="1" t="s">
        <v>46</v>
      </c>
      <c r="D8" s="1" t="s">
        <v>195</v>
      </c>
      <c r="E8" s="1" t="s">
        <v>196</v>
      </c>
      <c r="F8" s="1" t="n">
        <v>9</v>
      </c>
    </row>
    <row r="9" customFormat="false" ht="15" hidden="false" customHeight="false" outlineLevel="0" collapsed="false">
      <c r="A9" s="1" t="n">
        <v>8</v>
      </c>
      <c r="B9" s="3" t="s">
        <v>50</v>
      </c>
      <c r="C9" s="1" t="s">
        <v>50</v>
      </c>
      <c r="D9" s="1" t="s">
        <v>197</v>
      </c>
      <c r="E9" s="1" t="s">
        <v>198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3" t="s">
        <v>57</v>
      </c>
      <c r="C10" s="1" t="s">
        <v>57</v>
      </c>
      <c r="D10" s="1" t="s">
        <v>195</v>
      </c>
      <c r="E10" s="1" t="s">
        <v>199</v>
      </c>
      <c r="F10" s="1" t="n">
        <v>10</v>
      </c>
    </row>
    <row r="11" customFormat="false" ht="15" hidden="false" customHeight="false" outlineLevel="0" collapsed="false">
      <c r="A11" s="1" t="n">
        <v>10</v>
      </c>
      <c r="B11" s="3" t="s">
        <v>60</v>
      </c>
      <c r="C11" s="1" t="s">
        <v>60</v>
      </c>
      <c r="D11" s="1" t="s">
        <v>200</v>
      </c>
      <c r="E11" s="1" t="s">
        <v>201</v>
      </c>
      <c r="F11" s="1" t="n">
        <v>10</v>
      </c>
    </row>
    <row r="12" customFormat="false" ht="15" hidden="false" customHeight="false" outlineLevel="0" collapsed="false">
      <c r="A12" s="1" t="n">
        <v>11</v>
      </c>
      <c r="B12" s="3" t="s">
        <v>64</v>
      </c>
      <c r="C12" s="1" t="s">
        <v>64</v>
      </c>
      <c r="D12" s="1" t="s">
        <v>202</v>
      </c>
      <c r="E12" s="1" t="s">
        <v>203</v>
      </c>
      <c r="F12" s="1" t="n">
        <v>10</v>
      </c>
    </row>
    <row r="13" customFormat="false" ht="15" hidden="false" customHeight="false" outlineLevel="0" collapsed="false">
      <c r="A13" s="1" t="n">
        <v>12</v>
      </c>
      <c r="B13" s="3" t="s">
        <v>67</v>
      </c>
      <c r="C13" s="1" t="s">
        <v>67</v>
      </c>
      <c r="D13" s="1" t="s">
        <v>204</v>
      </c>
      <c r="E13" s="1" t="s">
        <v>205</v>
      </c>
      <c r="F13" s="1" t="n">
        <v>10</v>
      </c>
    </row>
    <row r="14" customFormat="false" ht="15" hidden="false" customHeight="false" outlineLevel="0" collapsed="false">
      <c r="A14" s="1" t="n">
        <v>13</v>
      </c>
      <c r="B14" s="3" t="s">
        <v>70</v>
      </c>
      <c r="C14" s="1" t="s">
        <v>70</v>
      </c>
      <c r="D14" s="1" t="s">
        <v>206</v>
      </c>
      <c r="E14" s="1" t="s">
        <v>207</v>
      </c>
      <c r="F14" s="1" t="n">
        <v>10</v>
      </c>
    </row>
    <row r="15" customFormat="false" ht="15" hidden="false" customHeight="false" outlineLevel="0" collapsed="false">
      <c r="A15" s="1" t="n">
        <v>14</v>
      </c>
      <c r="B15" s="3" t="s">
        <v>73</v>
      </c>
      <c r="C15" s="1" t="s">
        <v>73</v>
      </c>
      <c r="D15" s="1" t="s">
        <v>184</v>
      </c>
      <c r="E15" s="1" t="s">
        <v>208</v>
      </c>
      <c r="F15" s="1" t="n">
        <v>10</v>
      </c>
    </row>
    <row r="16" customFormat="false" ht="15" hidden="false" customHeight="false" outlineLevel="0" collapsed="false">
      <c r="A16" s="1" t="n">
        <v>15</v>
      </c>
      <c r="B16" s="3" t="s">
        <v>77</v>
      </c>
      <c r="C16" s="1" t="s">
        <v>77</v>
      </c>
      <c r="D16" s="1" t="s">
        <v>209</v>
      </c>
      <c r="E16" s="1" t="s">
        <v>210</v>
      </c>
      <c r="F16" s="1" t="n">
        <v>10</v>
      </c>
    </row>
    <row r="17" customFormat="false" ht="15" hidden="false" customHeight="false" outlineLevel="0" collapsed="false">
      <c r="A17" s="1" t="n">
        <v>16</v>
      </c>
      <c r="B17" s="3" t="s">
        <v>81</v>
      </c>
      <c r="C17" s="1" t="s">
        <v>81</v>
      </c>
      <c r="D17" s="1" t="s">
        <v>211</v>
      </c>
      <c r="E17" s="1" t="s">
        <v>212</v>
      </c>
      <c r="F17" s="1" t="n">
        <v>10</v>
      </c>
    </row>
    <row r="18" customFormat="false" ht="15" hidden="false" customHeight="false" outlineLevel="0" collapsed="false">
      <c r="A18" s="1" t="n">
        <v>17</v>
      </c>
      <c r="B18" s="3" t="s">
        <v>84</v>
      </c>
      <c r="C18" s="1" t="s">
        <v>84</v>
      </c>
      <c r="D18" s="1" t="s">
        <v>184</v>
      </c>
      <c r="E18" s="1" t="s">
        <v>213</v>
      </c>
      <c r="F18" s="1" t="n">
        <v>7</v>
      </c>
    </row>
    <row r="19" customFormat="false" ht="15" hidden="false" customHeight="false" outlineLevel="0" collapsed="false">
      <c r="A19" s="1" t="n">
        <v>18</v>
      </c>
      <c r="B19" s="3" t="s">
        <v>87</v>
      </c>
      <c r="C19" s="1" t="s">
        <v>87</v>
      </c>
      <c r="D19" s="1" t="s">
        <v>214</v>
      </c>
      <c r="E19" s="1" t="s">
        <v>201</v>
      </c>
      <c r="F19" s="1" t="n">
        <v>10</v>
      </c>
    </row>
    <row r="20" customFormat="false" ht="15" hidden="false" customHeight="false" outlineLevel="0" collapsed="false">
      <c r="A20" s="1" t="n">
        <v>19</v>
      </c>
      <c r="B20" s="3" t="s">
        <v>90</v>
      </c>
      <c r="C20" s="1" t="s">
        <v>90</v>
      </c>
      <c r="D20" s="1" t="s">
        <v>193</v>
      </c>
      <c r="E20" s="1" t="s">
        <v>215</v>
      </c>
      <c r="F20" s="1" t="n">
        <v>10</v>
      </c>
    </row>
    <row r="21" customFormat="false" ht="15" hidden="false" customHeight="false" outlineLevel="0" collapsed="false">
      <c r="A21" s="1" t="n">
        <v>20</v>
      </c>
      <c r="B21" s="3" t="s">
        <v>93</v>
      </c>
      <c r="C21" s="1" t="s">
        <v>93</v>
      </c>
      <c r="D21" s="1" t="s">
        <v>193</v>
      </c>
      <c r="E21" s="1" t="s">
        <v>216</v>
      </c>
      <c r="F21" s="1" t="n">
        <v>9</v>
      </c>
    </row>
    <row r="22" customFormat="false" ht="15" hidden="false" customHeight="false" outlineLevel="0" collapsed="false">
      <c r="A22" s="1" t="n">
        <v>21</v>
      </c>
      <c r="B22" s="3" t="s">
        <v>96</v>
      </c>
      <c r="C22" s="1" t="s">
        <v>96</v>
      </c>
      <c r="D22" s="1" t="s">
        <v>193</v>
      </c>
      <c r="E22" s="1" t="s">
        <v>217</v>
      </c>
      <c r="F22" s="1" t="n">
        <v>9</v>
      </c>
    </row>
    <row r="23" customFormat="false" ht="15" hidden="false" customHeight="false" outlineLevel="0" collapsed="false">
      <c r="A23" s="1" t="n">
        <v>22</v>
      </c>
      <c r="B23" s="3" t="s">
        <v>99</v>
      </c>
      <c r="C23" s="1" t="s">
        <v>99</v>
      </c>
      <c r="D23" s="1" t="s">
        <v>186</v>
      </c>
      <c r="E23" s="1" t="s">
        <v>218</v>
      </c>
      <c r="F23" s="1" t="n">
        <v>10</v>
      </c>
    </row>
    <row r="24" customFormat="false" ht="15" hidden="false" customHeight="false" outlineLevel="0" collapsed="false">
      <c r="A24" s="1" t="n">
        <v>23</v>
      </c>
      <c r="B24" s="3" t="s">
        <v>102</v>
      </c>
      <c r="C24" s="1" t="s">
        <v>102</v>
      </c>
      <c r="D24" s="1" t="s">
        <v>209</v>
      </c>
      <c r="E24" s="1" t="s">
        <v>219</v>
      </c>
      <c r="F24" s="1" t="n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4" activeCellId="0" sqref="G14"/>
    </sheetView>
  </sheetViews>
  <sheetFormatPr defaultColWidth="9.79687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7.25"/>
    <col collapsed="false" customWidth="true" hidden="false" outlineLevel="0" max="3" min="3" style="1" width="15.9"/>
    <col collapsed="false" customWidth="true" hidden="false" outlineLevel="0" max="4" min="4" style="1" width="24.34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134</v>
      </c>
      <c r="E1" s="1" t="s">
        <v>135</v>
      </c>
      <c r="F1" s="1" t="s">
        <v>136</v>
      </c>
      <c r="G1" s="1" t="s">
        <v>118</v>
      </c>
      <c r="H1" s="1" t="s">
        <v>137</v>
      </c>
      <c r="I1" s="1" t="s">
        <v>127</v>
      </c>
    </row>
    <row r="2" customFormat="false" ht="15" hidden="false" customHeight="false" outlineLevel="0" collapsed="false">
      <c r="A2" s="1" t="n">
        <v>1</v>
      </c>
      <c r="B2" s="3" t="s">
        <v>17</v>
      </c>
      <c r="C2" s="1" t="s">
        <v>17</v>
      </c>
      <c r="D2" s="1" t="s">
        <v>220</v>
      </c>
      <c r="E2" s="1" t="s">
        <v>221</v>
      </c>
      <c r="F2" s="1" t="n">
        <v>8</v>
      </c>
      <c r="I2" s="1" t="n">
        <v>8</v>
      </c>
    </row>
    <row r="3" customFormat="false" ht="15" hidden="false" customHeight="false" outlineLevel="0" collapsed="false">
      <c r="A3" s="1" t="n">
        <v>2</v>
      </c>
      <c r="B3" s="3" t="s">
        <v>22</v>
      </c>
      <c r="C3" s="1" t="s">
        <v>22</v>
      </c>
      <c r="D3" s="1" t="s">
        <v>222</v>
      </c>
      <c r="E3" s="1" t="s">
        <v>223</v>
      </c>
      <c r="F3" s="1" t="n">
        <v>9</v>
      </c>
      <c r="I3" s="1" t="n">
        <v>9</v>
      </c>
    </row>
    <row r="4" customFormat="false" ht="15" hidden="false" customHeight="false" outlineLevel="0" collapsed="false">
      <c r="A4" s="1" t="n">
        <v>3</v>
      </c>
      <c r="B4" s="3" t="s">
        <v>27</v>
      </c>
      <c r="C4" s="1" t="s">
        <v>27</v>
      </c>
      <c r="D4" s="1" t="s">
        <v>150</v>
      </c>
      <c r="E4" s="1" t="s">
        <v>224</v>
      </c>
      <c r="F4" s="1" t="n">
        <v>10</v>
      </c>
      <c r="I4" s="1" t="n">
        <v>10</v>
      </c>
    </row>
    <row r="5" customFormat="false" ht="15" hidden="false" customHeight="false" outlineLevel="0" collapsed="false">
      <c r="A5" s="1" t="n">
        <v>4</v>
      </c>
      <c r="B5" s="3" t="s">
        <v>33</v>
      </c>
      <c r="C5" s="1" t="s">
        <v>33</v>
      </c>
      <c r="D5" s="1" t="s">
        <v>193</v>
      </c>
      <c r="E5" s="1" t="s">
        <v>179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5</v>
      </c>
      <c r="B6" s="3" t="s">
        <v>40</v>
      </c>
      <c r="C6" s="1" t="s">
        <v>40</v>
      </c>
      <c r="D6" s="1" t="s">
        <v>214</v>
      </c>
      <c r="E6" s="1" t="s">
        <v>225</v>
      </c>
      <c r="F6" s="1" t="n">
        <v>10</v>
      </c>
      <c r="I6" s="1" t="n">
        <v>10</v>
      </c>
    </row>
    <row r="7" customFormat="false" ht="15" hidden="false" customHeight="false" outlineLevel="0" collapsed="false">
      <c r="A7" s="1" t="n">
        <v>6</v>
      </c>
      <c r="B7" s="3" t="s">
        <v>43</v>
      </c>
      <c r="C7" s="1" t="s">
        <v>43</v>
      </c>
      <c r="D7" s="1" t="s">
        <v>226</v>
      </c>
      <c r="E7" s="1" t="s">
        <v>227</v>
      </c>
      <c r="F7" s="1" t="n">
        <v>10</v>
      </c>
      <c r="I7" s="1" t="n">
        <v>10</v>
      </c>
    </row>
    <row r="8" customFormat="false" ht="15" hidden="false" customHeight="false" outlineLevel="0" collapsed="false">
      <c r="A8" s="1" t="n">
        <v>7</v>
      </c>
      <c r="B8" s="3" t="s">
        <v>46</v>
      </c>
      <c r="C8" s="1" t="s">
        <v>46</v>
      </c>
      <c r="D8" s="1" t="s">
        <v>228</v>
      </c>
      <c r="E8" s="1" t="s">
        <v>229</v>
      </c>
      <c r="F8" s="1" t="n">
        <v>10</v>
      </c>
      <c r="I8" s="1" t="n">
        <v>10</v>
      </c>
    </row>
    <row r="9" customFormat="false" ht="15" hidden="false" customHeight="false" outlineLevel="0" collapsed="false">
      <c r="A9" s="1" t="n">
        <v>8</v>
      </c>
      <c r="B9" s="3" t="s">
        <v>50</v>
      </c>
      <c r="C9" s="1" t="s">
        <v>50</v>
      </c>
      <c r="D9" s="1" t="s">
        <v>230</v>
      </c>
      <c r="E9" s="1" t="s">
        <v>231</v>
      </c>
      <c r="F9" s="1" t="n">
        <v>10</v>
      </c>
      <c r="I9" s="1" t="n">
        <v>10</v>
      </c>
    </row>
    <row r="10" customFormat="false" ht="15" hidden="false" customHeight="false" outlineLevel="0" collapsed="false">
      <c r="A10" s="1" t="n">
        <v>9</v>
      </c>
      <c r="B10" s="3" t="s">
        <v>57</v>
      </c>
      <c r="C10" s="1" t="s">
        <v>57</v>
      </c>
      <c r="D10" s="1" t="s">
        <v>220</v>
      </c>
      <c r="E10" s="1" t="s">
        <v>232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10</v>
      </c>
      <c r="B11" s="3" t="s">
        <v>60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3" t="s">
        <v>64</v>
      </c>
      <c r="C12" s="1" t="s">
        <v>64</v>
      </c>
      <c r="D12" s="1" t="s">
        <v>233</v>
      </c>
      <c r="E12" s="1" t="s">
        <v>234</v>
      </c>
      <c r="F12" s="1" t="n">
        <v>9</v>
      </c>
      <c r="I12" s="1" t="n">
        <v>9</v>
      </c>
    </row>
    <row r="13" customFormat="false" ht="15" hidden="false" customHeight="false" outlineLevel="0" collapsed="false">
      <c r="A13" s="1" t="n">
        <v>12</v>
      </c>
      <c r="B13" s="3" t="s">
        <v>67</v>
      </c>
      <c r="C13" s="1" t="s">
        <v>67</v>
      </c>
      <c r="D13" s="1" t="s">
        <v>235</v>
      </c>
      <c r="E13" s="1" t="s">
        <v>236</v>
      </c>
      <c r="F13" s="1" t="n">
        <v>8</v>
      </c>
      <c r="I13" s="1" t="n">
        <v>8</v>
      </c>
    </row>
    <row r="14" customFormat="false" ht="15" hidden="false" customHeight="false" outlineLevel="0" collapsed="false">
      <c r="A14" s="1" t="n">
        <v>13</v>
      </c>
      <c r="B14" s="3" t="s">
        <v>70</v>
      </c>
      <c r="C14" s="1" t="s">
        <v>70</v>
      </c>
      <c r="D14" s="1" t="s">
        <v>237</v>
      </c>
      <c r="E14" s="1" t="s">
        <v>238</v>
      </c>
      <c r="F14" s="1" t="n">
        <v>10</v>
      </c>
      <c r="G14" s="1" t="n">
        <f aca="false">AVERAGE(F14:F16)</f>
        <v>9.66666666666667</v>
      </c>
      <c r="H14" s="1" t="n">
        <v>9</v>
      </c>
      <c r="I14" s="1" t="n">
        <f aca="false">ROUND(MAX(H14,G14),0)</f>
        <v>10</v>
      </c>
    </row>
    <row r="15" customFormat="false" ht="15" hidden="false" customHeight="false" outlineLevel="0" collapsed="false">
      <c r="C15" s="1" t="s">
        <v>70</v>
      </c>
      <c r="D15" s="1" t="s">
        <v>239</v>
      </c>
      <c r="E15" s="1" t="s">
        <v>240</v>
      </c>
      <c r="F15" s="1" t="n">
        <v>10</v>
      </c>
    </row>
    <row r="16" customFormat="false" ht="15" hidden="false" customHeight="false" outlineLevel="0" collapsed="false">
      <c r="C16" s="1" t="s">
        <v>70</v>
      </c>
      <c r="D16" s="1" t="s">
        <v>241</v>
      </c>
      <c r="E16" s="1" t="s">
        <v>242</v>
      </c>
      <c r="F16" s="1" t="n">
        <v>9</v>
      </c>
    </row>
    <row r="17" customFormat="false" ht="15" hidden="false" customHeight="false" outlineLevel="0" collapsed="false">
      <c r="A17" s="1" t="n">
        <v>14</v>
      </c>
      <c r="B17" s="3" t="s">
        <v>73</v>
      </c>
      <c r="C17" s="1" t="s">
        <v>73</v>
      </c>
      <c r="D17" s="1" t="s">
        <v>243</v>
      </c>
      <c r="E17" s="1" t="s">
        <v>244</v>
      </c>
      <c r="F17" s="1" t="n">
        <v>8</v>
      </c>
      <c r="I17" s="1" t="n">
        <v>8</v>
      </c>
    </row>
    <row r="18" customFormat="false" ht="15" hidden="false" customHeight="false" outlineLevel="0" collapsed="false">
      <c r="A18" s="1" t="n">
        <v>15</v>
      </c>
      <c r="B18" s="3" t="s">
        <v>77</v>
      </c>
      <c r="C18" s="1" t="s">
        <v>77</v>
      </c>
      <c r="D18" s="1" t="s">
        <v>245</v>
      </c>
      <c r="E18" s="1" t="s">
        <v>246</v>
      </c>
      <c r="F18" s="1" t="n">
        <v>7</v>
      </c>
      <c r="I18" s="1" t="n">
        <v>7</v>
      </c>
    </row>
    <row r="19" customFormat="false" ht="15" hidden="false" customHeight="false" outlineLevel="0" collapsed="false">
      <c r="A19" s="1" t="n">
        <v>16</v>
      </c>
      <c r="B19" s="3" t="s">
        <v>81</v>
      </c>
      <c r="C19" s="1" t="s">
        <v>81</v>
      </c>
      <c r="D19" s="1" t="s">
        <v>237</v>
      </c>
      <c r="E19" s="1" t="s">
        <v>192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17</v>
      </c>
      <c r="B20" s="3" t="s">
        <v>84</v>
      </c>
      <c r="C20" s="1" t="s">
        <v>84</v>
      </c>
      <c r="D20" s="1" t="s">
        <v>226</v>
      </c>
      <c r="E20" s="1" t="s">
        <v>247</v>
      </c>
      <c r="F20" s="1" t="n">
        <v>8</v>
      </c>
      <c r="I20" s="1" t="n">
        <v>8</v>
      </c>
    </row>
    <row r="21" customFormat="false" ht="15" hidden="false" customHeight="false" outlineLevel="0" collapsed="false">
      <c r="A21" s="1" t="n">
        <v>18</v>
      </c>
      <c r="B21" s="3" t="s">
        <v>87</v>
      </c>
      <c r="C21" s="1" t="s">
        <v>87</v>
      </c>
      <c r="D21" s="1" t="s">
        <v>158</v>
      </c>
      <c r="E21" s="1" t="s">
        <v>248</v>
      </c>
      <c r="F21" s="1" t="n">
        <v>9</v>
      </c>
      <c r="I21" s="1" t="n">
        <v>9</v>
      </c>
    </row>
    <row r="22" customFormat="false" ht="15" hidden="false" customHeight="false" outlineLevel="0" collapsed="false">
      <c r="A22" s="1" t="n">
        <v>19</v>
      </c>
      <c r="B22" s="3" t="s">
        <v>90</v>
      </c>
      <c r="C22" s="1" t="s">
        <v>90</v>
      </c>
      <c r="D22" s="1" t="s">
        <v>158</v>
      </c>
      <c r="E22" s="1" t="s">
        <v>248</v>
      </c>
      <c r="F22" s="1" t="n">
        <v>7</v>
      </c>
      <c r="I22" s="1" t="n">
        <v>7</v>
      </c>
    </row>
    <row r="23" customFormat="false" ht="15" hidden="false" customHeight="false" outlineLevel="0" collapsed="false">
      <c r="A23" s="1" t="n">
        <v>20</v>
      </c>
      <c r="B23" s="3" t="s">
        <v>93</v>
      </c>
      <c r="C23" s="1" t="s">
        <v>93</v>
      </c>
      <c r="D23" s="1" t="s">
        <v>249</v>
      </c>
      <c r="E23" s="1" t="s">
        <v>250</v>
      </c>
      <c r="F23" s="1" t="n">
        <v>10</v>
      </c>
      <c r="I23" s="1" t="n">
        <v>10</v>
      </c>
    </row>
    <row r="24" customFormat="false" ht="15" hidden="false" customHeight="false" outlineLevel="0" collapsed="false">
      <c r="A24" s="1" t="n">
        <v>21</v>
      </c>
      <c r="B24" s="3" t="s">
        <v>96</v>
      </c>
      <c r="C24" s="1" t="s">
        <v>96</v>
      </c>
      <c r="D24" s="1" t="s">
        <v>251</v>
      </c>
      <c r="E24" s="1" t="s">
        <v>252</v>
      </c>
      <c r="F24" s="1" t="n">
        <v>0</v>
      </c>
      <c r="I24" s="1" t="n">
        <v>0</v>
      </c>
    </row>
    <row r="25" customFormat="false" ht="15" hidden="false" customHeight="false" outlineLevel="0" collapsed="false">
      <c r="A25" s="1" t="n">
        <v>22</v>
      </c>
      <c r="B25" s="3" t="s">
        <v>99</v>
      </c>
      <c r="C25" s="1" t="s">
        <v>99</v>
      </c>
      <c r="D25" s="1" t="s">
        <v>253</v>
      </c>
      <c r="E25" s="1" t="s">
        <v>254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23</v>
      </c>
      <c r="B26" s="3" t="s">
        <v>102</v>
      </c>
      <c r="C26" s="1" t="s">
        <v>102</v>
      </c>
      <c r="D26" s="1" t="s">
        <v>255</v>
      </c>
      <c r="E26" s="1" t="s">
        <v>256</v>
      </c>
      <c r="F26" s="1" t="n">
        <v>9</v>
      </c>
      <c r="I26" s="1" t="n">
        <v>9</v>
      </c>
    </row>
    <row r="27" customFormat="false" ht="15" hidden="false" customHeight="false" outlineLevel="0" collapsed="false">
      <c r="H27" s="1" t="s">
        <v>257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3" activeCellId="0" sqref="G3"/>
    </sheetView>
  </sheetViews>
  <sheetFormatPr defaultColWidth="9.79687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17.25"/>
    <col collapsed="false" customWidth="true" hidden="false" outlineLevel="0" max="3" min="3" style="1" width="15.9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134</v>
      </c>
      <c r="E1" s="1" t="s">
        <v>135</v>
      </c>
      <c r="F1" s="1" t="s">
        <v>136</v>
      </c>
      <c r="G1" s="1" t="s">
        <v>118</v>
      </c>
      <c r="H1" s="1" t="s">
        <v>137</v>
      </c>
      <c r="I1" s="1" t="s">
        <v>127</v>
      </c>
    </row>
    <row r="2" customFormat="false" ht="15" hidden="false" customHeight="false" outlineLevel="0" collapsed="false">
      <c r="A2" s="1" t="n">
        <v>1</v>
      </c>
      <c r="B2" s="3" t="s">
        <v>17</v>
      </c>
      <c r="C2" s="1" t="s">
        <v>17</v>
      </c>
      <c r="D2" s="1" t="s">
        <v>258</v>
      </c>
      <c r="E2" s="1" t="s">
        <v>259</v>
      </c>
      <c r="F2" s="1" t="n">
        <v>8</v>
      </c>
      <c r="I2" s="1" t="n">
        <v>8</v>
      </c>
    </row>
    <row r="3" customFormat="false" ht="15" hidden="false" customHeight="false" outlineLevel="0" collapsed="false">
      <c r="A3" s="1" t="n">
        <v>2</v>
      </c>
      <c r="B3" s="3" t="s">
        <v>22</v>
      </c>
      <c r="C3" s="1" t="s">
        <v>22</v>
      </c>
      <c r="D3" s="1" t="s">
        <v>260</v>
      </c>
      <c r="E3" s="1" t="s">
        <v>261</v>
      </c>
      <c r="F3" s="1" t="n">
        <v>6</v>
      </c>
      <c r="G3" s="1" t="n">
        <f aca="false">AVERAGE(F3:F4)</f>
        <v>6</v>
      </c>
      <c r="H3" s="1" t="n">
        <v>6</v>
      </c>
      <c r="I3" s="1" t="n">
        <f aca="false">ROUND(MAX(H3,G3),0)</f>
        <v>6</v>
      </c>
    </row>
    <row r="4" customFormat="false" ht="15" hidden="false" customHeight="false" outlineLevel="0" collapsed="false">
      <c r="C4" s="1" t="s">
        <v>22</v>
      </c>
      <c r="D4" s="1" t="s">
        <v>262</v>
      </c>
      <c r="E4" s="1" t="s">
        <v>263</v>
      </c>
      <c r="F4" s="1" t="n">
        <v>6</v>
      </c>
    </row>
    <row r="5" customFormat="false" ht="15" hidden="false" customHeight="false" outlineLevel="0" collapsed="false">
      <c r="A5" s="1" t="n">
        <v>3</v>
      </c>
      <c r="B5" s="3" t="s">
        <v>27</v>
      </c>
      <c r="C5" s="1" t="s">
        <v>27</v>
      </c>
      <c r="D5" s="1" t="s">
        <v>264</v>
      </c>
      <c r="E5" s="1" t="s">
        <v>265</v>
      </c>
      <c r="F5" s="1" t="n">
        <v>10</v>
      </c>
      <c r="I5" s="1" t="n">
        <v>10</v>
      </c>
    </row>
    <row r="6" customFormat="false" ht="15" hidden="false" customHeight="false" outlineLevel="0" collapsed="false">
      <c r="A6" s="1" t="n">
        <v>4</v>
      </c>
      <c r="B6" s="3" t="s">
        <v>33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5</v>
      </c>
      <c r="B7" s="3" t="s">
        <v>40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6</v>
      </c>
      <c r="B8" s="3" t="s">
        <v>43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7</v>
      </c>
      <c r="B9" s="3" t="s">
        <v>46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8</v>
      </c>
      <c r="B10" s="3" t="s">
        <v>50</v>
      </c>
      <c r="C10" s="1" t="s">
        <v>50</v>
      </c>
      <c r="D10" s="1" t="s">
        <v>266</v>
      </c>
      <c r="E10" s="1" t="s">
        <v>267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9</v>
      </c>
      <c r="B11" s="3" t="s">
        <v>57</v>
      </c>
      <c r="C11" s="1" t="s">
        <v>57</v>
      </c>
      <c r="D11" s="1" t="s">
        <v>268</v>
      </c>
      <c r="E11" s="1" t="s">
        <v>269</v>
      </c>
      <c r="F11" s="1" t="n">
        <v>6</v>
      </c>
      <c r="I11" s="1" t="n">
        <v>6</v>
      </c>
    </row>
    <row r="12" customFormat="false" ht="15" hidden="false" customHeight="false" outlineLevel="0" collapsed="false">
      <c r="A12" s="1" t="n">
        <v>10</v>
      </c>
      <c r="B12" s="3" t="s">
        <v>60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11</v>
      </c>
      <c r="B13" s="3" t="s">
        <v>64</v>
      </c>
      <c r="C13" s="1" t="s">
        <v>64</v>
      </c>
      <c r="D13" s="1" t="s">
        <v>270</v>
      </c>
      <c r="E13" s="1" t="s">
        <v>271</v>
      </c>
      <c r="F13" s="1" t="n">
        <v>9</v>
      </c>
      <c r="I13" s="1" t="n">
        <v>9</v>
      </c>
    </row>
    <row r="14" customFormat="false" ht="15" hidden="false" customHeight="false" outlineLevel="0" collapsed="false">
      <c r="A14" s="1" t="n">
        <v>12</v>
      </c>
      <c r="B14" s="3" t="s">
        <v>67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13</v>
      </c>
      <c r="B15" s="3" t="s">
        <v>70</v>
      </c>
      <c r="C15" s="1" t="s">
        <v>70</v>
      </c>
      <c r="D15" s="1" t="s">
        <v>272</v>
      </c>
      <c r="E15" s="1" t="s">
        <v>273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14</v>
      </c>
      <c r="B16" s="3" t="s">
        <v>73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15</v>
      </c>
      <c r="B17" s="3" t="s">
        <v>77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16</v>
      </c>
      <c r="B18" s="3" t="s">
        <v>81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17</v>
      </c>
      <c r="B19" s="3" t="s">
        <v>84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18</v>
      </c>
      <c r="B20" s="3" t="s">
        <v>87</v>
      </c>
      <c r="C20" s="1" t="s">
        <v>87</v>
      </c>
      <c r="D20" s="1" t="s">
        <v>274</v>
      </c>
      <c r="E20" s="1" t="s">
        <v>275</v>
      </c>
      <c r="F20" s="1" t="n">
        <v>10</v>
      </c>
      <c r="I20" s="1" t="n">
        <v>10</v>
      </c>
    </row>
    <row r="21" customFormat="false" ht="15" hidden="false" customHeight="false" outlineLevel="0" collapsed="false">
      <c r="A21" s="1" t="n">
        <v>19</v>
      </c>
      <c r="B21" s="3" t="s">
        <v>90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20</v>
      </c>
      <c r="B22" s="3" t="s">
        <v>93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21</v>
      </c>
      <c r="B23" s="3" t="s">
        <v>96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22</v>
      </c>
      <c r="B24" s="3" t="s">
        <v>99</v>
      </c>
      <c r="C24" s="1" t="s">
        <v>99</v>
      </c>
      <c r="D24" s="1" t="s">
        <v>276</v>
      </c>
      <c r="E24" s="1" t="s">
        <v>277</v>
      </c>
      <c r="F24" s="1" t="n">
        <v>10</v>
      </c>
      <c r="I24" s="1" t="n">
        <v>10</v>
      </c>
    </row>
    <row r="25" customFormat="false" ht="15" hidden="false" customHeight="false" outlineLevel="0" collapsed="false">
      <c r="A25" s="1" t="n">
        <v>23</v>
      </c>
      <c r="B25" s="3" t="s">
        <v>102</v>
      </c>
      <c r="C25" s="1" t="s">
        <v>102</v>
      </c>
      <c r="D25" s="1" t="s">
        <v>278</v>
      </c>
      <c r="E25" s="1" t="s">
        <v>279</v>
      </c>
      <c r="F25" s="1" t="n">
        <v>6</v>
      </c>
      <c r="I25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7" colorId="64" zoomScale="90" zoomScaleNormal="90" zoomScalePageLayoutView="100" workbookViewId="0">
      <selection pane="topLeft" activeCell="G23" activeCellId="0" sqref="G23"/>
    </sheetView>
  </sheetViews>
  <sheetFormatPr defaultColWidth="9.796875" defaultRowHeight="15" zeroHeight="false" outlineLevelRow="0" outlineLevelCol="0"/>
  <cols>
    <col collapsed="false" customWidth="true" hidden="false" outlineLevel="0" max="1" min="1" style="1" width="15.9"/>
    <col collapsed="false" customWidth="true" hidden="false" outlineLevel="0" max="2" min="2" style="1" width="22.63"/>
    <col collapsed="false" customWidth="true" hidden="false" outlineLevel="0" max="3" min="3" style="1" width="22.2"/>
  </cols>
  <sheetData>
    <row r="1" customFormat="false" ht="15" hidden="false" customHeight="false" outlineLevel="0" collapsed="false">
      <c r="A1" s="1" t="s">
        <v>3</v>
      </c>
      <c r="B1" s="1" t="s">
        <v>134</v>
      </c>
      <c r="C1" s="1" t="s">
        <v>135</v>
      </c>
      <c r="D1" s="1" t="s">
        <v>280</v>
      </c>
      <c r="E1" s="1" t="s">
        <v>118</v>
      </c>
      <c r="F1" s="1" t="s">
        <v>137</v>
      </c>
      <c r="G1" s="1" t="s">
        <v>127</v>
      </c>
    </row>
    <row r="2" customFormat="false" ht="15" hidden="false" customHeight="false" outlineLevel="0" collapsed="false">
      <c r="A2" s="1" t="s">
        <v>22</v>
      </c>
      <c r="B2" s="1" t="s">
        <v>281</v>
      </c>
      <c r="C2" s="1" t="s">
        <v>282</v>
      </c>
      <c r="D2" s="1" t="n">
        <v>8</v>
      </c>
      <c r="E2" s="1" t="n">
        <f aca="false">AVERAGE(D2:D5)</f>
        <v>6.75</v>
      </c>
      <c r="F2" s="1" t="n">
        <v>6</v>
      </c>
      <c r="G2" s="1" t="n">
        <f aca="false">ROUND(MAX(F2,E2),0)</f>
        <v>7</v>
      </c>
    </row>
    <row r="3" customFormat="false" ht="15" hidden="false" customHeight="false" outlineLevel="0" collapsed="false">
      <c r="A3" s="1" t="s">
        <v>22</v>
      </c>
      <c r="B3" s="1" t="s">
        <v>283</v>
      </c>
      <c r="C3" s="1" t="s">
        <v>284</v>
      </c>
      <c r="D3" s="1" t="n">
        <v>8</v>
      </c>
    </row>
    <row r="4" customFormat="false" ht="15" hidden="false" customHeight="false" outlineLevel="0" collapsed="false">
      <c r="A4" s="1" t="s">
        <v>22</v>
      </c>
      <c r="B4" s="1" t="s">
        <v>285</v>
      </c>
      <c r="C4" s="1" t="s">
        <v>286</v>
      </c>
      <c r="D4" s="1" t="n">
        <v>6</v>
      </c>
    </row>
    <row r="5" customFormat="false" ht="15" hidden="false" customHeight="false" outlineLevel="0" collapsed="false">
      <c r="A5" s="1" t="s">
        <v>22</v>
      </c>
      <c r="B5" s="1" t="s">
        <v>287</v>
      </c>
      <c r="C5" s="1" t="s">
        <v>288</v>
      </c>
      <c r="D5" s="1" t="n">
        <v>5</v>
      </c>
    </row>
    <row r="6" customFormat="false" ht="15" hidden="false" customHeight="false" outlineLevel="0" collapsed="false">
      <c r="A6" s="1" t="s">
        <v>40</v>
      </c>
      <c r="B6" s="1" t="s">
        <v>289</v>
      </c>
      <c r="C6" s="1" t="s">
        <v>290</v>
      </c>
      <c r="D6" s="1" t="n">
        <v>8</v>
      </c>
      <c r="E6" s="1" t="n">
        <f aca="false">AVERAGE(D6:D13)</f>
        <v>6.25</v>
      </c>
      <c r="F6" s="1" t="n">
        <v>7</v>
      </c>
      <c r="G6" s="1" t="n">
        <f aca="false">ROUND(MAX(F6,E6),0)</f>
        <v>7</v>
      </c>
    </row>
    <row r="7" customFormat="false" ht="15" hidden="false" customHeight="false" outlineLevel="0" collapsed="false">
      <c r="A7" s="1" t="s">
        <v>40</v>
      </c>
      <c r="B7" s="1" t="s">
        <v>291</v>
      </c>
      <c r="C7" s="1" t="s">
        <v>292</v>
      </c>
      <c r="D7" s="1" t="n">
        <v>8</v>
      </c>
    </row>
    <row r="8" customFormat="false" ht="15" hidden="false" customHeight="false" outlineLevel="0" collapsed="false">
      <c r="A8" s="1" t="s">
        <v>40</v>
      </c>
      <c r="B8" s="1" t="s">
        <v>293</v>
      </c>
      <c r="C8" s="1" t="s">
        <v>294</v>
      </c>
      <c r="D8" s="1" t="n">
        <v>8</v>
      </c>
    </row>
    <row r="9" customFormat="false" ht="15" hidden="false" customHeight="false" outlineLevel="0" collapsed="false">
      <c r="A9" s="1" t="s">
        <v>40</v>
      </c>
      <c r="B9" s="1" t="s">
        <v>295</v>
      </c>
      <c r="C9" s="1" t="s">
        <v>296</v>
      </c>
      <c r="D9" s="1" t="n">
        <v>7</v>
      </c>
    </row>
    <row r="10" customFormat="false" ht="15" hidden="false" customHeight="false" outlineLevel="0" collapsed="false">
      <c r="A10" s="1" t="s">
        <v>40</v>
      </c>
      <c r="B10" s="1" t="s">
        <v>297</v>
      </c>
      <c r="C10" s="1" t="s">
        <v>298</v>
      </c>
      <c r="D10" s="1" t="n">
        <v>7</v>
      </c>
    </row>
    <row r="11" customFormat="false" ht="15" hidden="false" customHeight="false" outlineLevel="0" collapsed="false">
      <c r="A11" s="1" t="s">
        <v>40</v>
      </c>
      <c r="B11" s="1" t="s">
        <v>299</v>
      </c>
      <c r="C11" s="1" t="s">
        <v>300</v>
      </c>
      <c r="D11" s="1" t="n">
        <v>5</v>
      </c>
    </row>
    <row r="12" customFormat="false" ht="15" hidden="false" customHeight="false" outlineLevel="0" collapsed="false">
      <c r="A12" s="1" t="s">
        <v>40</v>
      </c>
      <c r="B12" s="1" t="s">
        <v>301</v>
      </c>
      <c r="C12" s="1" t="s">
        <v>302</v>
      </c>
      <c r="D12" s="1" t="n">
        <v>4</v>
      </c>
    </row>
    <row r="13" customFormat="false" ht="15" hidden="false" customHeight="false" outlineLevel="0" collapsed="false">
      <c r="A13" s="1" t="s">
        <v>40</v>
      </c>
      <c r="B13" s="1" t="s">
        <v>303</v>
      </c>
      <c r="C13" s="1" t="s">
        <v>304</v>
      </c>
      <c r="D13" s="1" t="n">
        <v>3</v>
      </c>
    </row>
    <row r="14" customFormat="false" ht="15" hidden="false" customHeight="false" outlineLevel="0" collapsed="false">
      <c r="A14" s="1" t="s">
        <v>43</v>
      </c>
      <c r="B14" s="1" t="s">
        <v>305</v>
      </c>
      <c r="C14" s="1" t="s">
        <v>306</v>
      </c>
      <c r="D14" s="1" t="n">
        <v>8</v>
      </c>
      <c r="E14" s="1" t="n">
        <f aca="false">AVERAGE(D14:D15)</f>
        <v>7</v>
      </c>
      <c r="F14" s="1" t="n">
        <v>6</v>
      </c>
      <c r="G14" s="1" t="n">
        <f aca="false">ROUND(MAX(F14,E14),0)</f>
        <v>7</v>
      </c>
    </row>
    <row r="15" customFormat="false" ht="15" hidden="false" customHeight="false" outlineLevel="0" collapsed="false">
      <c r="A15" s="1" t="s">
        <v>43</v>
      </c>
      <c r="B15" s="1" t="s">
        <v>307</v>
      </c>
      <c r="C15" s="1" t="s">
        <v>308</v>
      </c>
      <c r="D15" s="1" t="n">
        <v>6</v>
      </c>
    </row>
    <row r="16" customFormat="false" ht="15" hidden="false" customHeight="false" outlineLevel="0" collapsed="false">
      <c r="A16" s="1" t="s">
        <v>67</v>
      </c>
      <c r="B16" s="1" t="s">
        <v>309</v>
      </c>
      <c r="C16" s="1" t="s">
        <v>159</v>
      </c>
      <c r="D16" s="1" t="n">
        <v>7</v>
      </c>
      <c r="E16" s="1" t="n">
        <f aca="false">AVERAGE(D16:D17)</f>
        <v>5</v>
      </c>
      <c r="F16" s="1" t="n">
        <v>3</v>
      </c>
      <c r="G16" s="1" t="n">
        <f aca="false">ROUND(MAX(F16,E16),0)</f>
        <v>5</v>
      </c>
    </row>
    <row r="17" customFormat="false" ht="15" hidden="false" customHeight="false" outlineLevel="0" collapsed="false">
      <c r="A17" s="1" t="s">
        <v>67</v>
      </c>
      <c r="B17" s="1" t="s">
        <v>310</v>
      </c>
      <c r="C17" s="1" t="s">
        <v>311</v>
      </c>
      <c r="D17" s="1" t="n">
        <v>3</v>
      </c>
    </row>
    <row r="18" customFormat="false" ht="15" hidden="false" customHeight="false" outlineLevel="0" collapsed="false">
      <c r="A18" s="1" t="s">
        <v>73</v>
      </c>
      <c r="B18" s="1" t="s">
        <v>312</v>
      </c>
      <c r="C18" s="1" t="s">
        <v>172</v>
      </c>
      <c r="D18" s="1" t="n">
        <v>8</v>
      </c>
      <c r="E18" s="1" t="n">
        <f aca="false">AVERAGE(D18:D20)</f>
        <v>6</v>
      </c>
      <c r="F18" s="1" t="n">
        <v>7</v>
      </c>
      <c r="G18" s="1" t="n">
        <f aca="false">ROUND(MAX(F18,E18),0)</f>
        <v>7</v>
      </c>
    </row>
    <row r="19" customFormat="false" ht="15" hidden="false" customHeight="false" outlineLevel="0" collapsed="false">
      <c r="A19" s="1" t="s">
        <v>73</v>
      </c>
      <c r="B19" s="1" t="s">
        <v>313</v>
      </c>
      <c r="C19" s="1" t="s">
        <v>314</v>
      </c>
      <c r="D19" s="1" t="n">
        <v>7</v>
      </c>
    </row>
    <row r="20" customFormat="false" ht="15" hidden="false" customHeight="false" outlineLevel="0" collapsed="false">
      <c r="A20" s="1" t="s">
        <v>73</v>
      </c>
      <c r="B20" s="1" t="s">
        <v>315</v>
      </c>
      <c r="C20" s="1" t="s">
        <v>316</v>
      </c>
      <c r="D20" s="1" t="n">
        <v>3</v>
      </c>
    </row>
    <row r="21" customFormat="false" ht="15" hidden="false" customHeight="false" outlineLevel="0" collapsed="false">
      <c r="A21" s="1" t="s">
        <v>84</v>
      </c>
      <c r="B21" s="1" t="s">
        <v>317</v>
      </c>
      <c r="C21" s="1" t="s">
        <v>318</v>
      </c>
      <c r="D21" s="1" t="n">
        <v>7</v>
      </c>
      <c r="G21" s="1" t="n">
        <v>7</v>
      </c>
    </row>
    <row r="22" customFormat="false" ht="15" hidden="false" customHeight="false" outlineLevel="0" collapsed="false">
      <c r="A22" s="1" t="s">
        <v>90</v>
      </c>
      <c r="B22" s="1" t="s">
        <v>319</v>
      </c>
      <c r="C22" s="1" t="s">
        <v>320</v>
      </c>
      <c r="D22" s="1" t="n">
        <v>8</v>
      </c>
      <c r="G22" s="1" t="n">
        <v>8</v>
      </c>
    </row>
    <row r="23" customFormat="false" ht="15" hidden="false" customHeight="false" outlineLevel="0" collapsed="false">
      <c r="A23" s="1" t="s">
        <v>96</v>
      </c>
      <c r="B23" s="1" t="s">
        <v>321</v>
      </c>
      <c r="C23" s="1" t="s">
        <v>322</v>
      </c>
      <c r="D23" s="1" t="n">
        <v>6</v>
      </c>
      <c r="G23" s="1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8" colorId="64" zoomScale="90" zoomScaleNormal="90" zoomScalePageLayoutView="100" workbookViewId="0">
      <selection pane="topLeft" activeCell="F2" activeCellId="0" sqref="F2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3.26"/>
    <col collapsed="false" customWidth="true" hidden="false" outlineLevel="0" max="3" min="2" style="1" width="17.6"/>
    <col collapsed="false" customWidth="true" hidden="false" outlineLevel="0" max="4" min="4" style="1" width="16.57"/>
    <col collapsed="false" customWidth="true" hidden="false" outlineLevel="0" max="5" min="5" style="1" width="22.51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135</v>
      </c>
      <c r="F1" s="1" t="s">
        <v>136</v>
      </c>
    </row>
    <row r="2" customFormat="false" ht="15" hidden="false" customHeight="false" outlineLevel="0" collapsed="false">
      <c r="A2" s="1" t="n">
        <v>1</v>
      </c>
      <c r="B2" s="3" t="s">
        <v>17</v>
      </c>
      <c r="C2" s="1" t="s">
        <v>17</v>
      </c>
      <c r="D2" s="1" t="s">
        <v>16</v>
      </c>
      <c r="E2" s="1" t="s">
        <v>323</v>
      </c>
      <c r="F2" s="1" t="n">
        <v>9.25</v>
      </c>
    </row>
    <row r="3" customFormat="false" ht="15" hidden="false" customHeight="false" outlineLevel="0" collapsed="false">
      <c r="A3" s="1" t="n">
        <v>2</v>
      </c>
      <c r="B3" s="3" t="s">
        <v>22</v>
      </c>
      <c r="C3" s="1" t="s">
        <v>22</v>
      </c>
      <c r="D3" s="1" t="s">
        <v>21</v>
      </c>
      <c r="E3" s="1" t="s">
        <v>324</v>
      </c>
      <c r="F3" s="1" t="n">
        <v>9</v>
      </c>
    </row>
    <row r="4" customFormat="false" ht="15" hidden="false" customHeight="false" outlineLevel="0" collapsed="false">
      <c r="A4" s="1" t="n">
        <v>3</v>
      </c>
      <c r="B4" s="3" t="s">
        <v>27</v>
      </c>
      <c r="C4" s="1" t="s">
        <v>27</v>
      </c>
      <c r="D4" s="1" t="s">
        <v>26</v>
      </c>
      <c r="E4" s="1" t="s">
        <v>325</v>
      </c>
      <c r="F4" s="1" t="n">
        <v>10</v>
      </c>
    </row>
    <row r="5" customFormat="false" ht="15" hidden="false" customHeight="false" outlineLevel="0" collapsed="false">
      <c r="A5" s="1" t="n">
        <v>4</v>
      </c>
      <c r="B5" s="3" t="s">
        <v>33</v>
      </c>
      <c r="C5" s="1" t="s">
        <v>33</v>
      </c>
      <c r="D5" s="1" t="s">
        <v>32</v>
      </c>
      <c r="E5" s="1" t="s">
        <v>326</v>
      </c>
      <c r="F5" s="1" t="n">
        <v>9.5</v>
      </c>
    </row>
    <row r="6" customFormat="false" ht="15" hidden="false" customHeight="false" outlineLevel="0" collapsed="false">
      <c r="A6" s="1" t="n">
        <v>5</v>
      </c>
      <c r="B6" s="3" t="s">
        <v>40</v>
      </c>
      <c r="C6" s="1" t="s">
        <v>40</v>
      </c>
      <c r="D6" s="1" t="s">
        <v>39</v>
      </c>
      <c r="E6" s="1" t="s">
        <v>327</v>
      </c>
      <c r="F6" s="1" t="n">
        <v>8.75</v>
      </c>
    </row>
    <row r="7" customFormat="false" ht="15" hidden="false" customHeight="false" outlineLevel="0" collapsed="false">
      <c r="A7" s="1" t="n">
        <v>6</v>
      </c>
      <c r="B7" s="3" t="s">
        <v>43</v>
      </c>
      <c r="C7" s="1" t="s">
        <v>43</v>
      </c>
      <c r="D7" s="1" t="s">
        <v>42</v>
      </c>
      <c r="E7" s="1" t="s">
        <v>328</v>
      </c>
      <c r="F7" s="1" t="n">
        <v>9.75</v>
      </c>
    </row>
    <row r="8" customFormat="false" ht="15" hidden="false" customHeight="false" outlineLevel="0" collapsed="false">
      <c r="A8" s="1" t="n">
        <v>7</v>
      </c>
      <c r="B8" s="3" t="s">
        <v>46</v>
      </c>
      <c r="C8" s="1" t="s">
        <v>46</v>
      </c>
      <c r="D8" s="1" t="s">
        <v>45</v>
      </c>
      <c r="E8" s="1" t="s">
        <v>329</v>
      </c>
      <c r="F8" s="1" t="n">
        <v>9.75</v>
      </c>
    </row>
    <row r="9" customFormat="false" ht="15" hidden="false" customHeight="false" outlineLevel="0" collapsed="false">
      <c r="A9" s="1" t="n">
        <v>8</v>
      </c>
      <c r="B9" s="3" t="s">
        <v>50</v>
      </c>
      <c r="C9" s="1" t="s">
        <v>50</v>
      </c>
      <c r="D9" s="1" t="s">
        <v>49</v>
      </c>
      <c r="E9" s="1" t="s">
        <v>330</v>
      </c>
      <c r="F9" s="1" t="n">
        <v>10</v>
      </c>
    </row>
    <row r="10" customFormat="false" ht="15" hidden="false" customHeight="false" outlineLevel="0" collapsed="false">
      <c r="A10" s="1" t="n">
        <v>9</v>
      </c>
      <c r="B10" s="3" t="s">
        <v>57</v>
      </c>
      <c r="C10" s="1" t="s">
        <v>57</v>
      </c>
      <c r="D10" s="1" t="s">
        <v>56</v>
      </c>
      <c r="E10" s="1" t="s">
        <v>331</v>
      </c>
      <c r="F10" s="1" t="n">
        <v>8.75</v>
      </c>
    </row>
    <row r="11" customFormat="false" ht="15" hidden="false" customHeight="false" outlineLevel="0" collapsed="false">
      <c r="A11" s="1" t="n">
        <v>10</v>
      </c>
      <c r="B11" s="3" t="s">
        <v>60</v>
      </c>
      <c r="C11" s="1" t="s">
        <v>60</v>
      </c>
      <c r="D11" s="1" t="s">
        <v>59</v>
      </c>
      <c r="E11" s="1" t="s">
        <v>332</v>
      </c>
      <c r="F11" s="1" t="n">
        <v>4.5</v>
      </c>
    </row>
    <row r="12" customFormat="false" ht="15" hidden="false" customHeight="false" outlineLevel="0" collapsed="false">
      <c r="A12" s="1" t="n">
        <v>11</v>
      </c>
      <c r="B12" s="3" t="s">
        <v>64</v>
      </c>
      <c r="C12" s="1" t="s">
        <v>64</v>
      </c>
      <c r="D12" s="1" t="s">
        <v>63</v>
      </c>
      <c r="E12" s="1" t="s">
        <v>333</v>
      </c>
      <c r="F12" s="1" t="n">
        <v>8.75</v>
      </c>
    </row>
    <row r="13" customFormat="false" ht="15" hidden="false" customHeight="false" outlineLevel="0" collapsed="false">
      <c r="A13" s="1" t="n">
        <v>12</v>
      </c>
      <c r="B13" s="3" t="s">
        <v>67</v>
      </c>
      <c r="C13" s="1" t="s">
        <v>67</v>
      </c>
      <c r="D13" s="1" t="s">
        <v>66</v>
      </c>
      <c r="E13" s="1" t="s">
        <v>334</v>
      </c>
      <c r="F13" s="1" t="n">
        <v>9</v>
      </c>
    </row>
    <row r="14" customFormat="false" ht="15" hidden="false" customHeight="false" outlineLevel="0" collapsed="false">
      <c r="A14" s="1" t="n">
        <v>13</v>
      </c>
      <c r="B14" s="3" t="s">
        <v>70</v>
      </c>
      <c r="C14" s="1" t="s">
        <v>70</v>
      </c>
      <c r="D14" s="1" t="s">
        <v>69</v>
      </c>
      <c r="E14" s="1" t="s">
        <v>335</v>
      </c>
      <c r="F14" s="1" t="n">
        <v>10</v>
      </c>
    </row>
    <row r="15" customFormat="false" ht="15" hidden="false" customHeight="false" outlineLevel="0" collapsed="false">
      <c r="A15" s="1" t="n">
        <v>14</v>
      </c>
      <c r="B15" s="3" t="s">
        <v>73</v>
      </c>
      <c r="C15" s="1" t="s">
        <v>73</v>
      </c>
      <c r="D15" s="1" t="s">
        <v>72</v>
      </c>
      <c r="E15" s="1" t="s">
        <v>336</v>
      </c>
      <c r="F15" s="1" t="n">
        <v>8</v>
      </c>
    </row>
    <row r="16" customFormat="false" ht="15" hidden="false" customHeight="false" outlineLevel="0" collapsed="false">
      <c r="A16" s="1" t="n">
        <v>15</v>
      </c>
      <c r="B16" s="3" t="s">
        <v>77</v>
      </c>
      <c r="C16" s="1" t="s">
        <v>77</v>
      </c>
      <c r="D16" s="1" t="s">
        <v>76</v>
      </c>
      <c r="E16" s="1" t="s">
        <v>337</v>
      </c>
      <c r="F16" s="1" t="n">
        <v>8</v>
      </c>
    </row>
    <row r="17" customFormat="false" ht="15" hidden="false" customHeight="false" outlineLevel="0" collapsed="false">
      <c r="A17" s="1" t="n">
        <v>16</v>
      </c>
      <c r="B17" s="3" t="s">
        <v>81</v>
      </c>
      <c r="C17" s="1" t="s">
        <v>81</v>
      </c>
      <c r="D17" s="1" t="s">
        <v>80</v>
      </c>
      <c r="E17" s="1" t="s">
        <v>338</v>
      </c>
      <c r="F17" s="1" t="n">
        <v>8.75</v>
      </c>
    </row>
    <row r="18" customFormat="false" ht="15" hidden="false" customHeight="false" outlineLevel="0" collapsed="false">
      <c r="A18" s="1" t="n">
        <v>17</v>
      </c>
      <c r="B18" s="3" t="s">
        <v>84</v>
      </c>
      <c r="C18" s="1" t="s">
        <v>84</v>
      </c>
      <c r="D18" s="1" t="s">
        <v>83</v>
      </c>
      <c r="E18" s="1" t="s">
        <v>339</v>
      </c>
      <c r="F18" s="1" t="n">
        <v>8.75</v>
      </c>
    </row>
    <row r="19" customFormat="false" ht="15" hidden="false" customHeight="false" outlineLevel="0" collapsed="false">
      <c r="A19" s="1" t="n">
        <v>18</v>
      </c>
      <c r="B19" s="3" t="s">
        <v>87</v>
      </c>
      <c r="C19" s="1" t="s">
        <v>87</v>
      </c>
      <c r="D19" s="1" t="s">
        <v>86</v>
      </c>
      <c r="E19" s="1" t="s">
        <v>340</v>
      </c>
      <c r="F19" s="1" t="n">
        <v>9.5</v>
      </c>
    </row>
    <row r="20" customFormat="false" ht="15" hidden="false" customHeight="false" outlineLevel="0" collapsed="false">
      <c r="A20" s="1" t="n">
        <v>19</v>
      </c>
      <c r="B20" s="3" t="s">
        <v>90</v>
      </c>
      <c r="C20" s="1" t="s">
        <v>90</v>
      </c>
      <c r="D20" s="1" t="s">
        <v>89</v>
      </c>
      <c r="E20" s="1" t="s">
        <v>341</v>
      </c>
      <c r="F20" s="1" t="n">
        <v>8.75</v>
      </c>
    </row>
    <row r="21" customFormat="false" ht="15" hidden="false" customHeight="false" outlineLevel="0" collapsed="false">
      <c r="A21" s="1" t="n">
        <v>20</v>
      </c>
      <c r="B21" s="3" t="s">
        <v>93</v>
      </c>
      <c r="C21" s="1" t="s">
        <v>93</v>
      </c>
      <c r="D21" s="1" t="s">
        <v>92</v>
      </c>
      <c r="E21" s="1" t="s">
        <v>342</v>
      </c>
      <c r="F21" s="1" t="n">
        <v>8.25</v>
      </c>
    </row>
    <row r="22" customFormat="false" ht="15" hidden="false" customHeight="false" outlineLevel="0" collapsed="false">
      <c r="A22" s="1" t="n">
        <v>21</v>
      </c>
      <c r="B22" s="3" t="s">
        <v>96</v>
      </c>
      <c r="C22" s="1" t="s">
        <v>96</v>
      </c>
      <c r="D22" s="1" t="s">
        <v>95</v>
      </c>
      <c r="E22" s="1" t="s">
        <v>328</v>
      </c>
      <c r="F22" s="1" t="n">
        <v>8.75</v>
      </c>
    </row>
    <row r="23" customFormat="false" ht="15" hidden="false" customHeight="false" outlineLevel="0" collapsed="false">
      <c r="A23" s="1" t="n">
        <v>22</v>
      </c>
      <c r="B23" s="3" t="s">
        <v>99</v>
      </c>
      <c r="C23" s="1" t="s">
        <v>99</v>
      </c>
      <c r="D23" s="1" t="s">
        <v>98</v>
      </c>
      <c r="E23" s="1" t="s">
        <v>343</v>
      </c>
      <c r="F23" s="1" t="n">
        <v>4.25</v>
      </c>
    </row>
    <row r="24" customFormat="false" ht="15" hidden="false" customHeight="false" outlineLevel="0" collapsed="false">
      <c r="A24" s="1" t="n">
        <v>23</v>
      </c>
      <c r="B24" s="3" t="s">
        <v>102</v>
      </c>
      <c r="C24" s="1" t="s">
        <v>102</v>
      </c>
      <c r="D24" s="1" t="s">
        <v>101</v>
      </c>
      <c r="E24" s="1" t="s">
        <v>344</v>
      </c>
      <c r="F24" s="1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2909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2025-05-05T16:24:58Z</dcterms:created>
  <dc:creator/>
  <dc:description/>
  <dc:language>es-AR</dc:language>
  <cp:lastModifiedBy/>
  <dcterms:modified xsi:type="dcterms:W3CDTF">2025-12-12T19:56:47Z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