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tencia" sheetId="1" state="visible" r:id="rId3"/>
    <sheet name="notas" sheetId="2" state="visible" r:id="rId4"/>
    <sheet name="1-fuentes" sheetId="3" state="visible" r:id="rId5"/>
    <sheet name="positivo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<sst xmlns="http://schemas.openxmlformats.org/spreadsheetml/2006/main" count="657" uniqueCount="164">
  <si>
    <t xml:space="preserve">nro</t>
  </si>
  <si>
    <t xml:space="preserve">Nombre</t>
  </si>
  <si>
    <t xml:space="preserve">Apellido(s)</t>
  </si>
  <si>
    <t xml:space="preserve">Dirección de correo</t>
  </si>
  <si>
    <t xml:space="preserve">Energia</t>
  </si>
  <si>
    <t xml:space="preserve">obs</t>
  </si>
  <si>
    <t xml:space="preserve">presentes</t>
  </si>
  <si>
    <t xml:space="preserve">competencia</t>
  </si>
  <si>
    <t xml:space="preserve">nota</t>
  </si>
  <si>
    <t xml:space="preserve">Exposicion</t>
  </si>
  <si>
    <t xml:space="preserve">nota </t>
  </si>
  <si>
    <t xml:space="preserve">Ivan</t>
  </si>
  <si>
    <t xml:space="preserve">ALTAMIRANO</t>
  </si>
  <si>
    <t xml:space="preserve">matias2511.altamirano@gmail.com</t>
  </si>
  <si>
    <t xml:space="preserve">1-Hidroelectrica</t>
  </si>
  <si>
    <t xml:space="preserve">P</t>
  </si>
  <si>
    <t xml:space="preserve">C</t>
  </si>
  <si>
    <t xml:space="preserve">olimpiadas</t>
  </si>
  <si>
    <t xml:space="preserve">multiplicador de rmp, ladron de joules</t>
  </si>
  <si>
    <t xml:space="preserve">me gsta, caja de madera para la proxima</t>
  </si>
  <si>
    <t xml:space="preserve">Buscar modelos de aspas, hacer pruebas con 2 tipos de motores</t>
  </si>
  <si>
    <t xml:space="preserve">impresion de las helices, se mejoro el modelo</t>
  </si>
  <si>
    <t xml:space="preserve">O</t>
  </si>
  <si>
    <t xml:space="preserve">falta proceso de armado</t>
  </si>
  <si>
    <t xml:space="preserve">Ivan Benjamín</t>
  </si>
  <si>
    <t xml:space="preserve">CABALLERO</t>
  </si>
  <si>
    <t xml:space="preserve">49898249@gmail.com</t>
  </si>
  <si>
    <t xml:space="preserve">A</t>
  </si>
  <si>
    <t xml:space="preserve">Matías Andrés</t>
  </si>
  <si>
    <t xml:space="preserve">CETERA</t>
  </si>
  <si>
    <t xml:space="preserve">50276187@gmail.com</t>
  </si>
  <si>
    <t xml:space="preserve">Asai Nitzana</t>
  </si>
  <si>
    <t xml:space="preserve">Trinidad</t>
  </si>
  <si>
    <t xml:space="preserve">matruia81@gmail.com</t>
  </si>
  <si>
    <t xml:space="preserve">hay que evaluar el tama del eje y la velocidad</t>
  </si>
  <si>
    <t xml:space="preserve">Ulises Nicolas</t>
  </si>
  <si>
    <t xml:space="preserve">GIMÉNEZ</t>
  </si>
  <si>
    <t xml:space="preserve">50156642@gmail.com</t>
  </si>
  <si>
    <t xml:space="preserve">2-Pancho pila</t>
  </si>
  <si>
    <t xml:space="preserve">hacer ladron de jouls</t>
  </si>
  <si>
    <t xml:space="preserve">hacer un modelo con 3 pancho pilas, modelos de linternas</t>
  </si>
  <si>
    <t xml:space="preserve">Thiago Benjamín</t>
  </si>
  <si>
    <t xml:space="preserve">TELLO</t>
  </si>
  <si>
    <t xml:space="preserve">49676837@gmail.com</t>
  </si>
  <si>
    <t xml:space="preserve">ladron de joules, conseguir leds, modelos de linternas</t>
  </si>
  <si>
    <t xml:space="preserve">falta ladron de joules</t>
  </si>
  <si>
    <t xml:space="preserve">Nazarena Valentina</t>
  </si>
  <si>
    <t xml:space="preserve">TEVEZ</t>
  </si>
  <si>
    <t xml:space="preserve">47869497@gmail.com</t>
  </si>
  <si>
    <t xml:space="preserve">Rafael Bautista</t>
  </si>
  <si>
    <t xml:space="preserve">ACUÑA</t>
  </si>
  <si>
    <t xml:space="preserve">50030377@gmail.com</t>
  </si>
  <si>
    <t xml:space="preserve">3-solar</t>
  </si>
  <si>
    <t xml:space="preserve">reparar, arduino, sensor de humedad, sensor de luz</t>
  </si>
  <si>
    <t xml:space="preserve">sanata</t>
  </si>
  <si>
    <t xml:space="preserve">me gusta el modelo encontrado, el piso de la maqueta</t>
  </si>
  <si>
    <t xml:space="preserve">Kevin Nahuel</t>
  </si>
  <si>
    <t xml:space="preserve">AGUERRE</t>
  </si>
  <si>
    <t xml:space="preserve">49627703@gmail.com</t>
  </si>
  <si>
    <t xml:space="preserve">pinto la maqueta</t>
  </si>
  <si>
    <t xml:space="preserve">carpeta </t>
  </si>
  <si>
    <t xml:space="preserve">Tiago Elian</t>
  </si>
  <si>
    <t xml:space="preserve">CHIAPPARO</t>
  </si>
  <si>
    <t xml:space="preserve">49419297@gmail.com</t>
  </si>
  <si>
    <t xml:space="preserve">Arduino proyecto girasol y sequedad de tierra</t>
  </si>
  <si>
    <t xml:space="preserve">me gusto el segundo modelo, gire e lpanel solar, modeo en tinkercad</t>
  </si>
  <si>
    <t xml:space="preserve">idea materiales</t>
  </si>
  <si>
    <t xml:space="preserve">Venus Yazmin</t>
  </si>
  <si>
    <t xml:space="preserve">MAIDANA</t>
  </si>
  <si>
    <t xml:space="preserve">49735065@gmail.com</t>
  </si>
  <si>
    <t xml:space="preserve">investigar el codigo con arduino</t>
  </si>
  <si>
    <t xml:space="preserve">idea</t>
  </si>
  <si>
    <t xml:space="preserve">Grecia De Los Angeles</t>
  </si>
  <si>
    <t xml:space="preserve">RODRÍGUEZ</t>
  </si>
  <si>
    <t xml:space="preserve">49626775@gmail.com</t>
  </si>
  <si>
    <t xml:space="preserve">carpeta de campo e informe</t>
  </si>
  <si>
    <t xml:space="preserve">Enzo Agustín</t>
  </si>
  <si>
    <t xml:space="preserve">Corbera</t>
  </si>
  <si>
    <t xml:space="preserve">50066744@gmail.com</t>
  </si>
  <si>
    <t xml:space="preserve">4-Eolica</t>
  </si>
  <si>
    <t xml:space="preserve">Se retiro enfermendad</t>
  </si>
  <si>
    <t xml:space="preserve">para pensar</t>
  </si>
  <si>
    <t xml:space="preserve">mi ciuidad o parlantito</t>
  </si>
  <si>
    <t xml:space="preserve">subir modelos de ciuidades, aspas</t>
  </si>
  <si>
    <t xml:space="preserve">idea de la ciudad</t>
  </si>
  <si>
    <t xml:space="preserve">pista resuelta </t>
  </si>
  <si>
    <t xml:space="preserve">Ramiro Ezequiel</t>
  </si>
  <si>
    <t xml:space="preserve">NUÑEZ</t>
  </si>
  <si>
    <t xml:space="preserve">49589492@gmail.com</t>
  </si>
  <si>
    <t xml:space="preserve">motor el circuito andando</t>
  </si>
  <si>
    <t xml:space="preserve">falta el avion</t>
  </si>
  <si>
    <t xml:space="preserve">Benjamin</t>
  </si>
  <si>
    <t xml:space="preserve">ROSALES BASTIDAS</t>
  </si>
  <si>
    <t xml:space="preserve">95429143@gmail.com</t>
  </si>
  <si>
    <t xml:space="preserve">hacer una ciudad o una pista de aterrizaje</t>
  </si>
  <si>
    <t xml:space="preserve">Matias</t>
  </si>
  <si>
    <t xml:space="preserve">TASSARA SOTO</t>
  </si>
  <si>
    <t xml:space="preserve">49837749@gmail.com</t>
  </si>
  <si>
    <t xml:space="preserve">1-fuentes</t>
  </si>
  <si>
    <t xml:space="preserve">2-informe</t>
  </si>
  <si>
    <t xml:space="preserve">3-ladron de joule</t>
  </si>
  <si>
    <t xml:space="preserve">4-prototipo</t>
  </si>
  <si>
    <t xml:space="preserve">positivos</t>
  </si>
  <si>
    <t xml:space="preserve">4 mas positivos</t>
  </si>
  <si>
    <t xml:space="preserve">promedio</t>
  </si>
  <si>
    <t xml:space="preserve">valoracion</t>
  </si>
  <si>
    <t xml:space="preserve">Leccion oral</t>
  </si>
  <si>
    <t xml:space="preserve">obs </t>
  </si>
  <si>
    <t xml:space="preserve">Evaluacion 6-6</t>
  </si>
  <si>
    <t xml:space="preserve">Evaluacion</t>
  </si>
  <si>
    <t xml:space="preserve">le agregaron una bateria</t>
  </si>
  <si>
    <t xml:space="preserve">feria </t>
  </si>
  <si>
    <t xml:space="preserve">maqueta con sistema de riego</t>
  </si>
  <si>
    <t xml:space="preserve">acumular extra </t>
  </si>
  <si>
    <t xml:space="preserve">explicar generador de continua</t>
  </si>
  <si>
    <t xml:space="preserve">maqueta andando</t>
  </si>
  <si>
    <t xml:space="preserve">traer el material</t>
  </si>
  <si>
    <t xml:space="preserve">como hacer un estabilizador</t>
  </si>
  <si>
    <t xml:space="preserve">se consiguio modelo para impresora 3d, para la proxima la pila funcionando</t>
  </si>
  <si>
    <t xml:space="preserve">automatizado</t>
  </si>
  <si>
    <t xml:space="preserve">filtro externo</t>
  </si>
  <si>
    <t xml:space="preserve">Traer rectificador </t>
  </si>
  <si>
    <t xml:space="preserve">rectificador completo</t>
  </si>
  <si>
    <t xml:space="preserve">Hacer 4 pancho pilas para prender</t>
  </si>
  <si>
    <t xml:space="preserve">presentacion con bornes</t>
  </si>
  <si>
    <t xml:space="preserve">acumulacion</t>
  </si>
  <si>
    <t xml:space="preserve">donde acumular</t>
  </si>
  <si>
    <t xml:space="preserve">imagen vifual?</t>
  </si>
  <si>
    <t xml:space="preserve">se compromete para la semana que viene </t>
  </si>
  <si>
    <t xml:space="preserve">separar los bornes</t>
  </si>
  <si>
    <t xml:space="preserve">aporte de tevez</t>
  </si>
  <si>
    <t xml:space="preserve">Finalizado</t>
  </si>
  <si>
    <t xml:space="preserve">Tiempo requerido</t>
  </si>
  <si>
    <t xml:space="preserve">Calificación/10,00</t>
  </si>
  <si>
    <t xml:space="preserve">segundo</t>
  </si>
  <si>
    <t xml:space="preserve">final</t>
  </si>
  <si>
    <t xml:space="preserve">4 de abril de 2025  18:57</t>
  </si>
  <si>
    <t xml:space="preserve">9 minutos 59 segundos</t>
  </si>
  <si>
    <t xml:space="preserve">4 de abril de 2025  18:56</t>
  </si>
  <si>
    <t xml:space="preserve">9 minutos 5 segundos</t>
  </si>
  <si>
    <t xml:space="preserve">4 de abril de 2025  23:24</t>
  </si>
  <si>
    <t xml:space="preserve">8 minutos 44 segundos</t>
  </si>
  <si>
    <t xml:space="preserve">4 de abril de 2025  18:54</t>
  </si>
  <si>
    <t xml:space="preserve">7 minutos 1 segundos</t>
  </si>
  <si>
    <t xml:space="preserve">4 de abril de 2025  19:04</t>
  </si>
  <si>
    <t xml:space="preserve">8 minutos 53 segundos</t>
  </si>
  <si>
    <t xml:space="preserve">4 de abril de 2025  20:28</t>
  </si>
  <si>
    <t xml:space="preserve">5 minutos 30 segundos</t>
  </si>
  <si>
    <t xml:space="preserve">4 de abril de 2025  18:53</t>
  </si>
  <si>
    <t xml:space="preserve">4 minutos 54 segundos</t>
  </si>
  <si>
    <t xml:space="preserve">4 de abril de 2025  18:58</t>
  </si>
  <si>
    <t xml:space="preserve">10 minutos</t>
  </si>
  <si>
    <t xml:space="preserve">7 minutos 35 segundos</t>
  </si>
  <si>
    <t xml:space="preserve">4 de abril de 2025  21:45</t>
  </si>
  <si>
    <t xml:space="preserve">7 minutos 22 segundos</t>
  </si>
  <si>
    <t xml:space="preserve">8 minutos 11 segundos</t>
  </si>
  <si>
    <t xml:space="preserve">7 minutos 19 segundos</t>
  </si>
  <si>
    <t xml:space="preserve">4 de abril de 2025  18:59</t>
  </si>
  <si>
    <t xml:space="preserve">9 minutos 37 segundos</t>
  </si>
  <si>
    <t xml:space="preserve">6 minutos 27 segundos</t>
  </si>
  <si>
    <t xml:space="preserve">-</t>
  </si>
  <si>
    <t xml:space="preserve">4 de abril de 2025  23:17</t>
  </si>
  <si>
    <t xml:space="preserve">4 minutos 44 segundos</t>
  </si>
  <si>
    <t xml:space="preserve">feria de ciencias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</si>
</sst>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006600"/>
          <bgColor rgb="FF000000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  <alignment horizontal="general" vertical="bottom" textRotation="0" wrapText="false" indent="0" shrinkToFit="false"/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J20" activeCellId="0" sqref="AJ20"/>
    </sheetView>
  </sheetViews>
  <sheetFormatPr defaultColWidth="8.7226562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0.07"/>
    <col collapsed="false" customWidth="true" hidden="false" outlineLevel="0" max="3" min="3" style="1" width="17.47"/>
    <col collapsed="false" customWidth="true" hidden="true" outlineLevel="0" max="4" min="4" style="1" width="31.19"/>
    <col collapsed="false" customWidth="true" hidden="false" outlineLevel="0" max="5" min="5" style="1" width="14.77"/>
    <col collapsed="false" customWidth="true" hidden="true" outlineLevel="0" max="13" min="6" style="1" width="8.61"/>
    <col collapsed="false" customWidth="true" hidden="true" outlineLevel="0" max="14" min="14" style="1" width="9.71"/>
    <col collapsed="false" customWidth="true" hidden="true" outlineLevel="0" max="17" min="15" style="1" width="8.61"/>
    <col collapsed="false" customWidth="false" hidden="true" outlineLevel="0" max="21" min="18" style="1" width="8.67"/>
    <col collapsed="false" customWidth="true" hidden="true" outlineLevel="0" max="22" min="22" style="1" width="32.95"/>
    <col collapsed="false" customWidth="false" hidden="true" outlineLevel="0" max="23" min="23" style="1" width="8.71"/>
    <col collapsed="false" customWidth="true" hidden="true" outlineLevel="0" max="24" min="24" style="1" width="36.46"/>
    <col collapsed="false" customWidth="false" hidden="true" outlineLevel="0" max="26" min="25" style="1" width="8.71"/>
    <col collapsed="false" customWidth="true" hidden="true" outlineLevel="0" max="27" min="27" style="1" width="56.3"/>
    <col collapsed="false" customWidth="false" hidden="true" outlineLevel="0" max="28" min="28" style="1" width="8.71"/>
    <col collapsed="false" customWidth="false" hidden="true" outlineLevel="0" max="29" min="29" style="1" width="8.72"/>
    <col collapsed="false" customWidth="true" hidden="true" outlineLevel="0" max="30" min="30" style="1" width="65.64"/>
    <col collapsed="false" customWidth="false" hidden="true" outlineLevel="0" max="33" min="31" style="1" width="8.72"/>
    <col collapsed="false" customWidth="true" hidden="false" outlineLevel="0" max="35" min="35" style="1" width="20.92"/>
  </cols>
  <sheetData>
    <row r="1" customFormat="false" ht="15" hidden="false" customHeight="false" outlineLevel="0" collapsed="false">
      <c r="B1" s="2"/>
      <c r="C1" s="2"/>
      <c r="D1" s="2"/>
      <c r="F1" s="3"/>
      <c r="G1" s="3"/>
      <c r="H1" s="3"/>
      <c r="J1" s="3"/>
      <c r="K1" s="3"/>
      <c r="L1" s="3"/>
      <c r="M1" s="3"/>
      <c r="Q1" s="3"/>
      <c r="R1" s="1" t="n">
        <v>7</v>
      </c>
      <c r="V1" s="3"/>
    </row>
    <row r="2" customFormat="false" ht="15" hidden="false" customHeight="false" outlineLevel="0" collapsed="false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3" t="n">
        <v>45800</v>
      </c>
      <c r="G2" s="3" t="n">
        <v>45807</v>
      </c>
      <c r="H2" s="3" t="n">
        <v>45814</v>
      </c>
      <c r="I2" s="1" t="s">
        <v>5</v>
      </c>
      <c r="J2" s="3" t="n">
        <v>45821</v>
      </c>
      <c r="K2" s="3" t="n">
        <v>45896</v>
      </c>
      <c r="L2" s="3" t="n">
        <v>45842</v>
      </c>
      <c r="M2" s="3" t="n">
        <v>45849</v>
      </c>
      <c r="N2" s="1" t="s">
        <v>6</v>
      </c>
      <c r="O2" s="1" t="s">
        <v>7</v>
      </c>
      <c r="P2" s="1" t="s">
        <v>6</v>
      </c>
      <c r="Q2" s="3" t="n">
        <v>45898</v>
      </c>
      <c r="R2" s="3" t="n">
        <v>45905</v>
      </c>
      <c r="V2" s="3" t="n">
        <v>45898</v>
      </c>
      <c r="W2" s="3" t="n">
        <v>45907</v>
      </c>
      <c r="Y2" s="3" t="n">
        <v>45919</v>
      </c>
      <c r="Z2" s="3" t="n">
        <v>45919</v>
      </c>
      <c r="AA2" s="1" t="s">
        <v>5</v>
      </c>
      <c r="AB2" s="3" t="n">
        <v>45926</v>
      </c>
      <c r="AC2" s="1" t="s">
        <v>8</v>
      </c>
      <c r="AE2" s="3" t="n">
        <v>45933</v>
      </c>
      <c r="AF2" s="1" t="s">
        <v>8</v>
      </c>
      <c r="AG2" s="3" t="n">
        <v>45947</v>
      </c>
      <c r="AH2" s="2" t="s">
        <v>9</v>
      </c>
      <c r="AI2" s="2" t="s">
        <v>5</v>
      </c>
      <c r="AJ2" s="3" t="n">
        <v>45961</v>
      </c>
      <c r="AK2" s="1" t="s">
        <v>10</v>
      </c>
    </row>
    <row r="3" customFormat="false" ht="15" hidden="false" customHeight="false" outlineLevel="0" collapsed="false">
      <c r="A3" s="1" t="n">
        <v>3</v>
      </c>
      <c r="B3" s="2" t="s">
        <v>11</v>
      </c>
      <c r="C3" s="2" t="s">
        <v>12</v>
      </c>
      <c r="D3" s="2" t="s">
        <v>13</v>
      </c>
      <c r="E3" s="1" t="s">
        <v>14</v>
      </c>
      <c r="F3" s="1" t="s">
        <v>15</v>
      </c>
      <c r="G3" s="1" t="s">
        <v>15</v>
      </c>
      <c r="H3" s="1" t="s">
        <v>16</v>
      </c>
      <c r="I3" s="1" t="s">
        <v>17</v>
      </c>
      <c r="J3" s="1" t="s">
        <v>15</v>
      </c>
      <c r="K3" s="1" t="s">
        <v>15</v>
      </c>
      <c r="L3" s="1" t="s">
        <v>15</v>
      </c>
      <c r="M3" s="1" t="s">
        <v>15</v>
      </c>
      <c r="N3" s="1" t="n">
        <f aca="false">COUNTIF(F3:M3,"P")</f>
        <v>6</v>
      </c>
      <c r="O3" s="1" t="n">
        <f aca="false">COUNTIF(F3:M3,"C")</f>
        <v>1</v>
      </c>
      <c r="Q3" s="1" t="s">
        <v>15</v>
      </c>
      <c r="R3" s="1" t="s">
        <v>15</v>
      </c>
      <c r="U3" s="1" t="n">
        <f aca="false">ROUND(AVERAGE(T3,R3,P3,N3,L3),0)</f>
        <v>6</v>
      </c>
      <c r="V3" s="1" t="s">
        <v>18</v>
      </c>
      <c r="W3" s="1" t="n">
        <v>8</v>
      </c>
      <c r="X3" s="1" t="s">
        <v>19</v>
      </c>
      <c r="Y3" s="1" t="s">
        <v>15</v>
      </c>
      <c r="Z3" s="1" t="n">
        <v>8</v>
      </c>
      <c r="AA3" s="1" t="s">
        <v>20</v>
      </c>
      <c r="AB3" s="1" t="s">
        <v>15</v>
      </c>
      <c r="AC3" s="1" t="n">
        <v>9</v>
      </c>
      <c r="AD3" s="1" t="s">
        <v>21</v>
      </c>
      <c r="AE3" s="1" t="s">
        <v>15</v>
      </c>
      <c r="AF3" s="1" t="n">
        <v>8</v>
      </c>
      <c r="AG3" s="2" t="s">
        <v>22</v>
      </c>
      <c r="AH3" s="1" t="n">
        <v>8</v>
      </c>
      <c r="AI3" s="2" t="s">
        <v>23</v>
      </c>
      <c r="AJ3" s="1" t="s">
        <v>15</v>
      </c>
      <c r="AK3" s="1" t="n">
        <v>9</v>
      </c>
    </row>
    <row r="4" customFormat="false" ht="15" hidden="false" customHeight="false" outlineLevel="0" collapsed="false">
      <c r="A4" s="1" t="n">
        <v>4</v>
      </c>
      <c r="B4" s="2" t="s">
        <v>24</v>
      </c>
      <c r="C4" s="2" t="s">
        <v>25</v>
      </c>
      <c r="D4" s="2" t="s">
        <v>26</v>
      </c>
      <c r="E4" s="1" t="s">
        <v>14</v>
      </c>
      <c r="F4" s="1" t="s">
        <v>27</v>
      </c>
      <c r="G4" s="1" t="s">
        <v>15</v>
      </c>
      <c r="H4" s="1" t="s">
        <v>15</v>
      </c>
      <c r="J4" s="1" t="s">
        <v>15</v>
      </c>
      <c r="K4" s="1" t="s">
        <v>15</v>
      </c>
      <c r="L4" s="1" t="s">
        <v>15</v>
      </c>
      <c r="M4" s="1" t="s">
        <v>15</v>
      </c>
      <c r="N4" s="1" t="n">
        <f aca="false">COUNTIF(F4:M4,"P")</f>
        <v>6</v>
      </c>
      <c r="O4" s="1" t="n">
        <f aca="false">COUNTIF(F4:M4,"C")</f>
        <v>0</v>
      </c>
      <c r="Q4" s="1" t="s">
        <v>15</v>
      </c>
      <c r="R4" s="1" t="s">
        <v>15</v>
      </c>
      <c r="U4" s="1" t="n">
        <f aca="false">ROUND(AVERAGE(T4,R4,P4,N4,L4),0)</f>
        <v>6</v>
      </c>
      <c r="Y4" s="1" t="s">
        <v>27</v>
      </c>
      <c r="AB4" s="1" t="s">
        <v>15</v>
      </c>
      <c r="AC4" s="1" t="n">
        <v>9</v>
      </c>
      <c r="AE4" s="1" t="s">
        <v>15</v>
      </c>
      <c r="AF4" s="1" t="n">
        <v>8</v>
      </c>
      <c r="AG4" s="2" t="s">
        <v>15</v>
      </c>
      <c r="AH4" s="1" t="n">
        <v>8</v>
      </c>
      <c r="AJ4" s="1" t="s">
        <v>15</v>
      </c>
      <c r="AK4" s="1" t="n">
        <v>9</v>
      </c>
    </row>
    <row r="5" customFormat="false" ht="15" hidden="false" customHeight="false" outlineLevel="0" collapsed="false">
      <c r="A5" s="1" t="n">
        <v>5</v>
      </c>
      <c r="B5" s="2" t="s">
        <v>28</v>
      </c>
      <c r="C5" s="2" t="s">
        <v>29</v>
      </c>
      <c r="D5" s="2" t="s">
        <v>30</v>
      </c>
      <c r="E5" s="1" t="s">
        <v>14</v>
      </c>
      <c r="F5" s="1" t="s">
        <v>15</v>
      </c>
      <c r="G5" s="1" t="s">
        <v>15</v>
      </c>
      <c r="H5" s="1" t="s">
        <v>15</v>
      </c>
      <c r="J5" s="1" t="s">
        <v>15</v>
      </c>
      <c r="K5" s="1" t="s">
        <v>15</v>
      </c>
      <c r="L5" s="1" t="s">
        <v>27</v>
      </c>
      <c r="M5" s="1" t="s">
        <v>15</v>
      </c>
      <c r="N5" s="1" t="n">
        <f aca="false">COUNTIF(F5:M5,"P")</f>
        <v>6</v>
      </c>
      <c r="O5" s="1" t="n">
        <f aca="false">COUNTIF(F5:M5,"C")</f>
        <v>0</v>
      </c>
      <c r="Q5" s="1" t="s">
        <v>15</v>
      </c>
      <c r="R5" s="1" t="s">
        <v>15</v>
      </c>
      <c r="U5" s="1" t="n">
        <f aca="false">ROUND(AVERAGE(T5,R5,P5,N5,L5),0)</f>
        <v>6</v>
      </c>
      <c r="Y5" s="1" t="s">
        <v>27</v>
      </c>
      <c r="Z5" s="1" t="n">
        <v>7</v>
      </c>
      <c r="AB5" s="1" t="s">
        <v>15</v>
      </c>
      <c r="AC5" s="1" t="n">
        <v>9</v>
      </c>
      <c r="AE5" s="1" t="s">
        <v>15</v>
      </c>
      <c r="AF5" s="1" t="n">
        <v>8</v>
      </c>
      <c r="AG5" s="2" t="s">
        <v>15</v>
      </c>
      <c r="AH5" s="1" t="n">
        <v>8</v>
      </c>
      <c r="AJ5" s="1" t="s">
        <v>15</v>
      </c>
      <c r="AK5" s="1" t="n">
        <v>9</v>
      </c>
    </row>
    <row r="6" customFormat="false" ht="15" hidden="false" customHeight="false" outlineLevel="0" collapsed="false">
      <c r="A6" s="1" t="n">
        <v>16</v>
      </c>
      <c r="B6" s="2" t="s">
        <v>31</v>
      </c>
      <c r="C6" s="2" t="s">
        <v>32</v>
      </c>
      <c r="D6" s="2" t="s">
        <v>33</v>
      </c>
      <c r="E6" s="1" t="s">
        <v>14</v>
      </c>
      <c r="F6" s="1" t="s">
        <v>15</v>
      </c>
      <c r="G6" s="1" t="s">
        <v>15</v>
      </c>
      <c r="H6" s="1" t="s">
        <v>15</v>
      </c>
      <c r="J6" s="1" t="s">
        <v>15</v>
      </c>
      <c r="K6" s="1" t="s">
        <v>15</v>
      </c>
      <c r="L6" s="1" t="s">
        <v>15</v>
      </c>
      <c r="M6" s="1" t="s">
        <v>15</v>
      </c>
      <c r="N6" s="1" t="n">
        <f aca="false">COUNTIF(F6:M6,"P")</f>
        <v>7</v>
      </c>
      <c r="O6" s="1" t="n">
        <f aca="false">COUNTIF(F6:M6,"C")</f>
        <v>0</v>
      </c>
      <c r="Q6" s="1" t="s">
        <v>15</v>
      </c>
      <c r="R6" s="1" t="s">
        <v>15</v>
      </c>
      <c r="U6" s="1" t="n">
        <f aca="false">ROUND(AVERAGE(T6,R6,P6,N6,L6),0)</f>
        <v>7</v>
      </c>
      <c r="Y6" s="1" t="s">
        <v>15</v>
      </c>
      <c r="Z6" s="1" t="n">
        <v>7</v>
      </c>
      <c r="AB6" s="1" t="s">
        <v>15</v>
      </c>
      <c r="AC6" s="1" t="n">
        <v>8</v>
      </c>
      <c r="AD6" s="1" t="s">
        <v>34</v>
      </c>
      <c r="AE6" s="1" t="s">
        <v>27</v>
      </c>
      <c r="AF6" s="1" t="n">
        <v>8</v>
      </c>
      <c r="AG6" s="2" t="s">
        <v>15</v>
      </c>
      <c r="AH6" s="1" t="n">
        <v>8</v>
      </c>
      <c r="AJ6" s="1" t="s">
        <v>15</v>
      </c>
      <c r="AK6" s="1" t="n">
        <v>9</v>
      </c>
    </row>
    <row r="7" customFormat="false" ht="15" hidden="false" customHeight="false" outlineLevel="0" collapsed="false">
      <c r="A7" s="1" t="n">
        <v>8</v>
      </c>
      <c r="B7" s="2" t="s">
        <v>35</v>
      </c>
      <c r="C7" s="2" t="s">
        <v>36</v>
      </c>
      <c r="D7" s="2" t="s">
        <v>37</v>
      </c>
      <c r="E7" s="1" t="s">
        <v>38</v>
      </c>
      <c r="F7" s="1" t="s">
        <v>15</v>
      </c>
      <c r="G7" s="1" t="s">
        <v>15</v>
      </c>
      <c r="H7" s="1" t="s">
        <v>15</v>
      </c>
      <c r="J7" s="1" t="s">
        <v>15</v>
      </c>
      <c r="K7" s="1" t="s">
        <v>15</v>
      </c>
      <c r="L7" s="1" t="s">
        <v>27</v>
      </c>
      <c r="M7" s="1" t="s">
        <v>15</v>
      </c>
      <c r="N7" s="1" t="n">
        <f aca="false">COUNTIF(F7:M7,"P")</f>
        <v>6</v>
      </c>
      <c r="O7" s="1" t="n">
        <f aca="false">COUNTIF(F7:M7,"C")</f>
        <v>0</v>
      </c>
      <c r="Q7" s="1" t="s">
        <v>15</v>
      </c>
      <c r="R7" s="1" t="s">
        <v>27</v>
      </c>
      <c r="U7" s="1" t="n">
        <f aca="false">ROUND(AVERAGE(T7,R7,P7,N7,L7),0)</f>
        <v>6</v>
      </c>
      <c r="V7" s="1" t="s">
        <v>39</v>
      </c>
      <c r="X7" s="1" t="s">
        <v>40</v>
      </c>
      <c r="Y7" s="1" t="s">
        <v>15</v>
      </c>
      <c r="Z7" s="1" t="n">
        <v>7</v>
      </c>
      <c r="AA7" s="1" t="s">
        <v>40</v>
      </c>
      <c r="AB7" s="1" t="s">
        <v>15</v>
      </c>
      <c r="AC7" s="1" t="n">
        <v>7</v>
      </c>
      <c r="AD7" s="1" t="s">
        <v>40</v>
      </c>
      <c r="AE7" s="1" t="s">
        <v>15</v>
      </c>
      <c r="AF7" s="1" t="n">
        <v>8</v>
      </c>
      <c r="AG7" s="2" t="s">
        <v>15</v>
      </c>
      <c r="AH7" s="1" t="n">
        <v>8</v>
      </c>
      <c r="AJ7" s="1" t="s">
        <v>15</v>
      </c>
      <c r="AK7" s="1" t="n">
        <v>9</v>
      </c>
    </row>
    <row r="8" customFormat="false" ht="15" hidden="false" customHeight="false" outlineLevel="0" collapsed="false">
      <c r="A8" s="1" t="n">
        <v>14</v>
      </c>
      <c r="B8" s="2" t="s">
        <v>41</v>
      </c>
      <c r="C8" s="2" t="s">
        <v>42</v>
      </c>
      <c r="D8" s="2" t="s">
        <v>43</v>
      </c>
      <c r="E8" s="1" t="s">
        <v>38</v>
      </c>
      <c r="F8" s="1" t="s">
        <v>15</v>
      </c>
      <c r="G8" s="1" t="s">
        <v>15</v>
      </c>
      <c r="H8" s="1" t="s">
        <v>15</v>
      </c>
      <c r="J8" s="1" t="s">
        <v>15</v>
      </c>
      <c r="K8" s="1" t="s">
        <v>15</v>
      </c>
      <c r="L8" s="1" t="s">
        <v>15</v>
      </c>
      <c r="M8" s="1" t="s">
        <v>15</v>
      </c>
      <c r="N8" s="1" t="n">
        <f aca="false">COUNTIF(F8:M8,"P")</f>
        <v>7</v>
      </c>
      <c r="O8" s="1" t="n">
        <f aca="false">COUNTIF(F8:M8,"C")</f>
        <v>0</v>
      </c>
      <c r="Q8" s="1" t="s">
        <v>15</v>
      </c>
      <c r="R8" s="1" t="s">
        <v>15</v>
      </c>
      <c r="U8" s="1" t="n">
        <f aca="false">ROUND(AVERAGE(T8,R8,P8,N8,L8),0)</f>
        <v>7</v>
      </c>
      <c r="W8" s="1" t="n">
        <v>6</v>
      </c>
      <c r="X8" s="1" t="s">
        <v>44</v>
      </c>
      <c r="Y8" s="1" t="s">
        <v>15</v>
      </c>
      <c r="Z8" s="1" t="n">
        <v>3</v>
      </c>
      <c r="AA8" s="1" t="s">
        <v>44</v>
      </c>
      <c r="AB8" s="1" t="s">
        <v>15</v>
      </c>
      <c r="AC8" s="1" t="n">
        <v>3</v>
      </c>
      <c r="AD8" s="1" t="s">
        <v>44</v>
      </c>
      <c r="AE8" s="1" t="s">
        <v>15</v>
      </c>
      <c r="AF8" s="1" t="n">
        <v>2</v>
      </c>
      <c r="AG8" s="2" t="s">
        <v>15</v>
      </c>
      <c r="AH8" s="1" t="n">
        <v>5</v>
      </c>
      <c r="AI8" s="2" t="s">
        <v>45</v>
      </c>
      <c r="AJ8" s="1" t="s">
        <v>27</v>
      </c>
      <c r="AK8" s="1" t="n">
        <v>1</v>
      </c>
    </row>
    <row r="9" customFormat="false" ht="15" hidden="false" customHeight="false" outlineLevel="0" collapsed="false">
      <c r="A9" s="1" t="n">
        <v>15</v>
      </c>
      <c r="B9" s="2" t="s">
        <v>46</v>
      </c>
      <c r="C9" s="2" t="s">
        <v>47</v>
      </c>
      <c r="D9" s="2" t="s">
        <v>48</v>
      </c>
      <c r="E9" s="1" t="s">
        <v>38</v>
      </c>
      <c r="F9" s="1" t="s">
        <v>15</v>
      </c>
      <c r="G9" s="1" t="s">
        <v>27</v>
      </c>
      <c r="H9" s="1" t="s">
        <v>27</v>
      </c>
      <c r="J9" s="1" t="s">
        <v>27</v>
      </c>
      <c r="K9" s="1" t="s">
        <v>15</v>
      </c>
      <c r="L9" s="1" t="s">
        <v>15</v>
      </c>
      <c r="M9" s="1" t="s">
        <v>27</v>
      </c>
      <c r="N9" s="1" t="n">
        <f aca="false">COUNTIF(F9:M9,"P")</f>
        <v>3</v>
      </c>
      <c r="O9" s="1" t="n">
        <f aca="false">COUNTIF(F9:M9,"C")</f>
        <v>0</v>
      </c>
      <c r="Q9" s="1" t="s">
        <v>27</v>
      </c>
      <c r="R9" s="1" t="s">
        <v>27</v>
      </c>
      <c r="U9" s="1" t="n">
        <f aca="false">ROUND(AVERAGE(T9,R9,P9,N9,L9),0)</f>
        <v>3</v>
      </c>
      <c r="V9" s="1" t="s">
        <v>27</v>
      </c>
      <c r="Y9" s="1" t="s">
        <v>27</v>
      </c>
      <c r="Z9" s="1" t="n">
        <v>1</v>
      </c>
      <c r="AB9" s="1" t="s">
        <v>27</v>
      </c>
      <c r="AC9" s="1" t="n">
        <v>1</v>
      </c>
      <c r="AE9" s="1" t="s">
        <v>15</v>
      </c>
      <c r="AF9" s="1" t="n">
        <v>1</v>
      </c>
      <c r="AG9" s="2" t="s">
        <v>27</v>
      </c>
      <c r="AH9" s="1" t="n">
        <v>1</v>
      </c>
      <c r="AJ9" s="1" t="s">
        <v>27</v>
      </c>
      <c r="AK9" s="1" t="n">
        <v>1</v>
      </c>
    </row>
    <row r="10" customFormat="false" ht="15" hidden="false" customHeight="false" outlineLevel="0" collapsed="false">
      <c r="A10" s="1" t="n">
        <v>1</v>
      </c>
      <c r="B10" s="2" t="s">
        <v>49</v>
      </c>
      <c r="C10" s="2" t="s">
        <v>50</v>
      </c>
      <c r="D10" s="2" t="s">
        <v>51</v>
      </c>
      <c r="E10" s="1" t="s">
        <v>52</v>
      </c>
      <c r="F10" s="1" t="s">
        <v>15</v>
      </c>
      <c r="G10" s="1" t="s">
        <v>15</v>
      </c>
      <c r="H10" s="1" t="s">
        <v>15</v>
      </c>
      <c r="J10" s="1" t="s">
        <v>15</v>
      </c>
      <c r="K10" s="1" t="s">
        <v>27</v>
      </c>
      <c r="L10" s="1" t="s">
        <v>15</v>
      </c>
      <c r="M10" s="1" t="s">
        <v>15</v>
      </c>
      <c r="N10" s="1" t="n">
        <f aca="false">COUNTIF(F10:M10,"P")</f>
        <v>6</v>
      </c>
      <c r="O10" s="1" t="n">
        <f aca="false">COUNTIF(F10:M10,"C")</f>
        <v>0</v>
      </c>
      <c r="Q10" s="1" t="s">
        <v>15</v>
      </c>
      <c r="R10" s="1" t="s">
        <v>15</v>
      </c>
      <c r="U10" s="1" t="n">
        <v>6</v>
      </c>
      <c r="V10" s="1" t="s">
        <v>53</v>
      </c>
      <c r="W10" s="1" t="n">
        <v>6</v>
      </c>
      <c r="X10" s="1" t="s">
        <v>54</v>
      </c>
      <c r="Y10" s="1" t="s">
        <v>27</v>
      </c>
      <c r="Z10" s="1" t="n">
        <v>6</v>
      </c>
      <c r="AB10" s="1" t="s">
        <v>15</v>
      </c>
      <c r="AD10" s="1" t="s">
        <v>55</v>
      </c>
      <c r="AE10" s="1" t="s">
        <v>15</v>
      </c>
      <c r="AF10" s="1" t="n">
        <v>7</v>
      </c>
      <c r="AG10" s="2" t="s">
        <v>15</v>
      </c>
      <c r="AH10" s="1" t="n">
        <v>8</v>
      </c>
      <c r="AJ10" s="1" t="s">
        <v>15</v>
      </c>
      <c r="AK10" s="1" t="n">
        <v>9</v>
      </c>
    </row>
    <row r="11" customFormat="false" ht="15" hidden="false" customHeight="false" outlineLevel="0" collapsed="false">
      <c r="A11" s="1" t="n">
        <v>2</v>
      </c>
      <c r="B11" s="2" t="s">
        <v>56</v>
      </c>
      <c r="C11" s="2" t="s">
        <v>57</v>
      </c>
      <c r="D11" s="2" t="s">
        <v>58</v>
      </c>
      <c r="E11" s="1" t="s">
        <v>52</v>
      </c>
      <c r="F11" s="1" t="s">
        <v>27</v>
      </c>
      <c r="G11" s="1" t="s">
        <v>15</v>
      </c>
      <c r="H11" s="1" t="s">
        <v>15</v>
      </c>
      <c r="J11" s="1" t="s">
        <v>27</v>
      </c>
      <c r="K11" s="1" t="s">
        <v>15</v>
      </c>
      <c r="L11" s="1" t="s">
        <v>15</v>
      </c>
      <c r="M11" s="1" t="s">
        <v>15</v>
      </c>
      <c r="N11" s="1" t="n">
        <f aca="false">COUNTIF(F11:M11,"P")</f>
        <v>5</v>
      </c>
      <c r="O11" s="1" t="n">
        <f aca="false">COUNTIF(F11:M11,"C")</f>
        <v>0</v>
      </c>
      <c r="Q11" s="1" t="s">
        <v>27</v>
      </c>
      <c r="R11" s="1" t="s">
        <v>15</v>
      </c>
      <c r="U11" s="1" t="n">
        <f aca="false">ROUND(AVERAGE(T11,R11,P11,N11,L11),0)</f>
        <v>5</v>
      </c>
      <c r="Y11" s="1" t="s">
        <v>27</v>
      </c>
      <c r="Z11" s="1" t="n">
        <v>6</v>
      </c>
      <c r="AB11" s="1" t="s">
        <v>15</v>
      </c>
      <c r="AD11" s="1" t="s">
        <v>59</v>
      </c>
      <c r="AE11" s="1" t="s">
        <v>15</v>
      </c>
      <c r="AF11" s="1" t="n">
        <v>7</v>
      </c>
      <c r="AG11" s="2" t="s">
        <v>15</v>
      </c>
      <c r="AH11" s="1" t="n">
        <v>8</v>
      </c>
      <c r="AI11" s="2" t="s">
        <v>60</v>
      </c>
      <c r="AJ11" s="1" t="s">
        <v>15</v>
      </c>
      <c r="AK11" s="1" t="n">
        <v>9</v>
      </c>
    </row>
    <row r="12" customFormat="false" ht="15" hidden="false" customHeight="false" outlineLevel="0" collapsed="false">
      <c r="A12" s="1" t="n">
        <v>6</v>
      </c>
      <c r="B12" s="2" t="s">
        <v>61</v>
      </c>
      <c r="C12" s="2" t="s">
        <v>62</v>
      </c>
      <c r="D12" s="2" t="s">
        <v>63</v>
      </c>
      <c r="E12" s="1" t="s">
        <v>52</v>
      </c>
      <c r="F12" s="1" t="s">
        <v>15</v>
      </c>
      <c r="G12" s="1" t="s">
        <v>15</v>
      </c>
      <c r="H12" s="1" t="s">
        <v>15</v>
      </c>
      <c r="J12" s="1" t="s">
        <v>15</v>
      </c>
      <c r="K12" s="1" t="s">
        <v>15</v>
      </c>
      <c r="L12" s="1" t="s">
        <v>15</v>
      </c>
      <c r="M12" s="1" t="s">
        <v>15</v>
      </c>
      <c r="N12" s="1" t="n">
        <f aca="false">COUNTIF(F12:M12,"P")</f>
        <v>7</v>
      </c>
      <c r="O12" s="1" t="n">
        <f aca="false">COUNTIF(F12:M12,"C")</f>
        <v>0</v>
      </c>
      <c r="Q12" s="1" t="s">
        <v>15</v>
      </c>
      <c r="R12" s="1" t="s">
        <v>15</v>
      </c>
      <c r="U12" s="1" t="n">
        <f aca="false">ROUND(AVERAGE(T12,R12,P12,N12,L12),0)</f>
        <v>7</v>
      </c>
      <c r="Y12" s="1" t="s">
        <v>15</v>
      </c>
      <c r="Z12" s="1" t="n">
        <v>7</v>
      </c>
      <c r="AA12" s="1" t="s">
        <v>64</v>
      </c>
      <c r="AB12" s="1" t="s">
        <v>15</v>
      </c>
      <c r="AC12" s="1" t="n">
        <v>8</v>
      </c>
      <c r="AD12" s="1" t="s">
        <v>65</v>
      </c>
      <c r="AE12" s="1" t="s">
        <v>15</v>
      </c>
      <c r="AF12" s="1" t="n">
        <v>8</v>
      </c>
      <c r="AG12" s="2" t="s">
        <v>15</v>
      </c>
      <c r="AH12" s="1" t="n">
        <v>8</v>
      </c>
      <c r="AI12" s="2" t="s">
        <v>66</v>
      </c>
      <c r="AJ12" s="1" t="s">
        <v>27</v>
      </c>
      <c r="AK12" s="1" t="n">
        <v>9</v>
      </c>
    </row>
    <row r="13" customFormat="false" ht="15" hidden="false" customHeight="false" outlineLevel="0" collapsed="false">
      <c r="A13" s="1" t="n">
        <v>9</v>
      </c>
      <c r="B13" s="2" t="s">
        <v>67</v>
      </c>
      <c r="C13" s="2" t="s">
        <v>68</v>
      </c>
      <c r="D13" s="2" t="s">
        <v>69</v>
      </c>
      <c r="E13" s="1" t="s">
        <v>52</v>
      </c>
      <c r="F13" s="1" t="s">
        <v>15</v>
      </c>
      <c r="G13" s="1" t="s">
        <v>15</v>
      </c>
      <c r="H13" s="1" t="s">
        <v>15</v>
      </c>
      <c r="J13" s="1" t="s">
        <v>15</v>
      </c>
      <c r="K13" s="1" t="s">
        <v>15</v>
      </c>
      <c r="L13" s="1" t="s">
        <v>15</v>
      </c>
      <c r="M13" s="1" t="s">
        <v>15</v>
      </c>
      <c r="N13" s="1" t="n">
        <f aca="false">COUNTIF(F13:M13,"P")</f>
        <v>7</v>
      </c>
      <c r="O13" s="1" t="n">
        <f aca="false">COUNTIF(F13:M13,"C")</f>
        <v>0</v>
      </c>
      <c r="Q13" s="1" t="s">
        <v>15</v>
      </c>
      <c r="R13" s="1" t="s">
        <v>27</v>
      </c>
      <c r="U13" s="1" t="n">
        <f aca="false">ROUND(AVERAGE(T13,R13,P13,N13,L13),0)</f>
        <v>7</v>
      </c>
      <c r="Y13" s="1" t="s">
        <v>27</v>
      </c>
      <c r="Z13" s="1" t="n">
        <v>6</v>
      </c>
      <c r="AB13" s="1" t="s">
        <v>15</v>
      </c>
      <c r="AC13" s="1" t="n">
        <v>8</v>
      </c>
      <c r="AD13" s="1" t="s">
        <v>70</v>
      </c>
      <c r="AE13" s="1" t="s">
        <v>27</v>
      </c>
      <c r="AF13" s="1" t="n">
        <v>8</v>
      </c>
      <c r="AG13" s="2" t="s">
        <v>15</v>
      </c>
      <c r="AH13" s="1" t="n">
        <v>8</v>
      </c>
      <c r="AI13" s="2" t="s">
        <v>71</v>
      </c>
      <c r="AJ13" s="1" t="s">
        <v>15</v>
      </c>
      <c r="AK13" s="1" t="n">
        <v>9</v>
      </c>
    </row>
    <row r="14" customFormat="false" ht="15" hidden="false" customHeight="false" outlineLevel="0" collapsed="false">
      <c r="A14" s="1" t="n">
        <v>11</v>
      </c>
      <c r="B14" s="2" t="s">
        <v>72</v>
      </c>
      <c r="C14" s="2" t="s">
        <v>73</v>
      </c>
      <c r="D14" s="2" t="s">
        <v>74</v>
      </c>
      <c r="E14" s="1" t="s">
        <v>52</v>
      </c>
      <c r="F14" s="1" t="s">
        <v>15</v>
      </c>
      <c r="G14" s="1" t="s">
        <v>15</v>
      </c>
      <c r="H14" s="1" t="s">
        <v>15</v>
      </c>
      <c r="J14" s="1" t="s">
        <v>15</v>
      </c>
      <c r="K14" s="1" t="s">
        <v>27</v>
      </c>
      <c r="L14" s="1" t="s">
        <v>15</v>
      </c>
      <c r="M14" s="1" t="s">
        <v>15</v>
      </c>
      <c r="N14" s="1" t="n">
        <f aca="false">COUNTIF(F14:M14,"P")</f>
        <v>6</v>
      </c>
      <c r="O14" s="1" t="n">
        <f aca="false">COUNTIF(F14:M14,"C")</f>
        <v>0</v>
      </c>
      <c r="Q14" s="1" t="s">
        <v>15</v>
      </c>
      <c r="R14" s="1" t="s">
        <v>15</v>
      </c>
      <c r="U14" s="1" t="n">
        <f aca="false">ROUND(AVERAGE(T14,R14,P14,N14,L14),0)</f>
        <v>6</v>
      </c>
      <c r="Y14" s="1" t="s">
        <v>27</v>
      </c>
      <c r="AB14" s="1" t="s">
        <v>15</v>
      </c>
      <c r="AC14" s="1" t="n">
        <v>7</v>
      </c>
      <c r="AE14" s="1" t="s">
        <v>15</v>
      </c>
      <c r="AF14" s="1" t="n">
        <v>7</v>
      </c>
      <c r="AG14" s="2" t="s">
        <v>15</v>
      </c>
      <c r="AH14" s="1" t="n">
        <v>8</v>
      </c>
      <c r="AI14" s="2" t="s">
        <v>75</v>
      </c>
      <c r="AJ14" s="1" t="s">
        <v>15</v>
      </c>
      <c r="AK14" s="1" t="n">
        <v>9</v>
      </c>
    </row>
    <row r="15" customFormat="false" ht="15" hidden="false" customHeight="false" outlineLevel="0" collapsed="false">
      <c r="A15" s="1" t="n">
        <v>7</v>
      </c>
      <c r="B15" s="2" t="s">
        <v>76</v>
      </c>
      <c r="C15" s="2" t="s">
        <v>77</v>
      </c>
      <c r="D15" s="2" t="s">
        <v>78</v>
      </c>
      <c r="E15" s="1" t="s">
        <v>79</v>
      </c>
      <c r="F15" s="1" t="s">
        <v>27</v>
      </c>
      <c r="G15" s="1" t="s">
        <v>27</v>
      </c>
      <c r="H15" s="1" t="s">
        <v>27</v>
      </c>
      <c r="I15" s="1" t="s">
        <v>80</v>
      </c>
      <c r="J15" s="1" t="s">
        <v>15</v>
      </c>
      <c r="K15" s="1" t="s">
        <v>15</v>
      </c>
      <c r="L15" s="1" t="s">
        <v>15</v>
      </c>
      <c r="M15" s="1" t="s">
        <v>15</v>
      </c>
      <c r="N15" s="1" t="n">
        <f aca="false">COUNTIF(F15:M15,"P")</f>
        <v>4</v>
      </c>
      <c r="O15" s="1" t="n">
        <f aca="false">COUNTIF(F15:M15,"C")</f>
        <v>0</v>
      </c>
      <c r="Q15" s="1" t="s">
        <v>15</v>
      </c>
      <c r="R15" s="1" t="s">
        <v>15</v>
      </c>
      <c r="U15" s="1" t="n">
        <f aca="false">ROUND(AVERAGE(T15,R15,P15,N15,L15),0)</f>
        <v>4</v>
      </c>
      <c r="V15" s="1" t="s">
        <v>81</v>
      </c>
      <c r="W15" s="1" t="n">
        <v>7</v>
      </c>
      <c r="X15" s="1" t="s">
        <v>82</v>
      </c>
      <c r="Y15" s="1" t="s">
        <v>15</v>
      </c>
      <c r="Z15" s="1" t="n">
        <v>7</v>
      </c>
      <c r="AA15" s="1" t="s">
        <v>83</v>
      </c>
      <c r="AB15" s="1" t="s">
        <v>15</v>
      </c>
      <c r="AC15" s="1" t="n">
        <v>7</v>
      </c>
      <c r="AD15" s="1" t="s">
        <v>84</v>
      </c>
      <c r="AE15" s="1" t="s">
        <v>15</v>
      </c>
      <c r="AF15" s="1" t="n">
        <v>7</v>
      </c>
      <c r="AG15" s="2" t="s">
        <v>15</v>
      </c>
      <c r="AH15" s="1" t="n">
        <v>9</v>
      </c>
      <c r="AI15" s="2" t="s">
        <v>85</v>
      </c>
      <c r="AJ15" s="1" t="s">
        <v>15</v>
      </c>
      <c r="AK15" s="1" t="n">
        <v>9</v>
      </c>
    </row>
    <row r="16" customFormat="false" ht="15" hidden="false" customHeight="false" outlineLevel="0" collapsed="false">
      <c r="A16" s="1" t="n">
        <v>10</v>
      </c>
      <c r="B16" s="2" t="s">
        <v>86</v>
      </c>
      <c r="C16" s="2" t="s">
        <v>87</v>
      </c>
      <c r="D16" s="2" t="s">
        <v>88</v>
      </c>
      <c r="E16" s="1" t="s">
        <v>79</v>
      </c>
      <c r="F16" s="1" t="s">
        <v>15</v>
      </c>
      <c r="G16" s="1" t="s">
        <v>15</v>
      </c>
      <c r="H16" s="1" t="s">
        <v>15</v>
      </c>
      <c r="J16" s="1" t="s">
        <v>15</v>
      </c>
      <c r="K16" s="1" t="s">
        <v>27</v>
      </c>
      <c r="L16" s="1" t="s">
        <v>15</v>
      </c>
      <c r="M16" s="1" t="s">
        <v>15</v>
      </c>
      <c r="N16" s="1" t="n">
        <f aca="false">COUNTIF(F16:M16,"P")</f>
        <v>6</v>
      </c>
      <c r="O16" s="1" t="n">
        <f aca="false">COUNTIF(F16:M16,"C")</f>
        <v>0</v>
      </c>
      <c r="Q16" s="1" t="s">
        <v>15</v>
      </c>
      <c r="R16" s="1" t="s">
        <v>15</v>
      </c>
      <c r="U16" s="1" t="n">
        <f aca="false">ROUND(AVERAGE(T16,R16,P16,N16,L16),0)</f>
        <v>6</v>
      </c>
      <c r="Y16" s="1" t="s">
        <v>27</v>
      </c>
      <c r="AB16" s="1" t="s">
        <v>27</v>
      </c>
      <c r="AD16" s="1" t="s">
        <v>89</v>
      </c>
      <c r="AE16" s="1" t="s">
        <v>15</v>
      </c>
      <c r="AG16" s="2" t="s">
        <v>15</v>
      </c>
      <c r="AH16" s="1" t="n">
        <v>9</v>
      </c>
      <c r="AI16" s="2" t="s">
        <v>90</v>
      </c>
      <c r="AJ16" s="1" t="s">
        <v>15</v>
      </c>
      <c r="AK16" s="1" t="n">
        <v>9</v>
      </c>
    </row>
    <row r="17" customFormat="false" ht="15" hidden="false" customHeight="false" outlineLevel="0" collapsed="false">
      <c r="A17" s="1" t="n">
        <v>12</v>
      </c>
      <c r="B17" s="2" t="s">
        <v>91</v>
      </c>
      <c r="C17" s="2" t="s">
        <v>92</v>
      </c>
      <c r="D17" s="2" t="s">
        <v>93</v>
      </c>
      <c r="E17" s="1" t="s">
        <v>79</v>
      </c>
      <c r="F17" s="1" t="s">
        <v>15</v>
      </c>
      <c r="G17" s="1" t="s">
        <v>15</v>
      </c>
      <c r="H17" s="1" t="s">
        <v>16</v>
      </c>
      <c r="I17" s="1" t="s">
        <v>17</v>
      </c>
      <c r="J17" s="1" t="s">
        <v>15</v>
      </c>
      <c r="K17" s="1" t="s">
        <v>27</v>
      </c>
      <c r="L17" s="1" t="s">
        <v>15</v>
      </c>
      <c r="M17" s="1" t="s">
        <v>15</v>
      </c>
      <c r="N17" s="1" t="n">
        <f aca="false">COUNTIF(F17:M17,"P")</f>
        <v>5</v>
      </c>
      <c r="O17" s="1" t="n">
        <f aca="false">COUNTIF(F17:M17,"C")</f>
        <v>1</v>
      </c>
      <c r="Q17" s="1" t="s">
        <v>15</v>
      </c>
      <c r="R17" s="1" t="s">
        <v>15</v>
      </c>
      <c r="U17" s="1" t="n">
        <f aca="false">ROUND(AVERAGE(T17,R17,P17,N17,L17),0)</f>
        <v>5</v>
      </c>
      <c r="Y17" s="1" t="s">
        <v>15</v>
      </c>
      <c r="Z17" s="1" t="n">
        <v>7</v>
      </c>
      <c r="AB17" s="1" t="s">
        <v>15</v>
      </c>
      <c r="AC17" s="1" t="n">
        <v>7</v>
      </c>
      <c r="AD17" s="1" t="s">
        <v>94</v>
      </c>
      <c r="AE17" s="1" t="s">
        <v>27</v>
      </c>
      <c r="AF17" s="1" t="n">
        <v>7</v>
      </c>
      <c r="AG17" s="2" t="s">
        <v>22</v>
      </c>
      <c r="AH17" s="1" t="n">
        <v>9</v>
      </c>
      <c r="AJ17" s="1" t="s">
        <v>15</v>
      </c>
      <c r="AK17" s="1" t="n">
        <v>9</v>
      </c>
    </row>
    <row r="18" customFormat="false" ht="15" hidden="false" customHeight="false" outlineLevel="0" collapsed="false">
      <c r="A18" s="1" t="n">
        <v>13</v>
      </c>
      <c r="B18" s="2" t="s">
        <v>95</v>
      </c>
      <c r="C18" s="2" t="s">
        <v>96</v>
      </c>
      <c r="D18" s="2" t="s">
        <v>97</v>
      </c>
      <c r="E18" s="1" t="s">
        <v>79</v>
      </c>
      <c r="F18" s="1" t="s">
        <v>15</v>
      </c>
      <c r="G18" s="1" t="s">
        <v>15</v>
      </c>
      <c r="H18" s="1" t="s">
        <v>15</v>
      </c>
      <c r="J18" s="1" t="s">
        <v>15</v>
      </c>
      <c r="K18" s="1" t="s">
        <v>15</v>
      </c>
      <c r="L18" s="1" t="s">
        <v>15</v>
      </c>
      <c r="M18" s="1" t="s">
        <v>15</v>
      </c>
      <c r="N18" s="1" t="n">
        <f aca="false">COUNTIF(F18:M18,"P")</f>
        <v>7</v>
      </c>
      <c r="O18" s="1" t="n">
        <f aca="false">COUNTIF(F18:M18,"C")</f>
        <v>0</v>
      </c>
      <c r="Q18" s="1" t="s">
        <v>15</v>
      </c>
      <c r="R18" s="1" t="s">
        <v>15</v>
      </c>
      <c r="U18" s="1" t="n">
        <f aca="false">ROUND(AVERAGE(T18,R18,P18,N18,L18),0)</f>
        <v>7</v>
      </c>
      <c r="Y18" s="1" t="s">
        <v>27</v>
      </c>
      <c r="AB18" s="1" t="s">
        <v>15</v>
      </c>
      <c r="AC18" s="1" t="n">
        <v>8</v>
      </c>
      <c r="AE18" s="1" t="s">
        <v>15</v>
      </c>
      <c r="AF18" s="1" t="n">
        <v>8</v>
      </c>
      <c r="AG18" s="2" t="s">
        <v>15</v>
      </c>
      <c r="AH18" s="1" t="n">
        <v>9</v>
      </c>
      <c r="AJ18" s="1" t="s">
        <v>15</v>
      </c>
      <c r="AK18" s="1" t="n">
        <v>9</v>
      </c>
    </row>
    <row r="19" customFormat="false" ht="15" hidden="false" customHeight="false" outlineLevel="0" collapsed="false">
      <c r="F19" s="1" t="n">
        <f aca="false">COUNTIF(F3:F18,"P")</f>
        <v>13</v>
      </c>
      <c r="G19" s="1" t="n">
        <f aca="false">COUNTIF(G3:G18,"P")</f>
        <v>14</v>
      </c>
      <c r="H19" s="1" t="n">
        <f aca="false">COUNTIF(H3:H18,"P")</f>
        <v>12</v>
      </c>
      <c r="J19" s="1" t="n">
        <f aca="false">COUNTIF(J3:J18,"P")</f>
        <v>14</v>
      </c>
      <c r="K19" s="1" t="n">
        <f aca="false">COUNTIF(K3:K18,"P")</f>
        <v>12</v>
      </c>
      <c r="L19" s="1" t="n">
        <f aca="false">COUNTIF(L3:L18,"P")</f>
        <v>14</v>
      </c>
      <c r="M19" s="1" t="n">
        <f aca="false">COUNTIF(M3:M18,"P")</f>
        <v>15</v>
      </c>
      <c r="Q19" s="1" t="n">
        <f aca="false">COUNTIF(Q3:Q18,"P")</f>
        <v>14</v>
      </c>
      <c r="R19" s="1" t="n">
        <f aca="false">COUNTIF(R3:R18,"P")</f>
        <v>13</v>
      </c>
      <c r="Y19" s="1" t="n">
        <f aca="false">COUNTIF(Y3:Y18,"P")</f>
        <v>7</v>
      </c>
      <c r="AB19" s="1" t="n">
        <f aca="false">COUNTIF(AB3:AB18,"P")</f>
        <v>14</v>
      </c>
      <c r="AE19" s="1" t="n">
        <f aca="false">COUNTIF(AE3:AE18,"P")</f>
        <v>13</v>
      </c>
      <c r="AG19" s="1" t="n">
        <f aca="false">COUNTIF(AG3:AG18,"P")</f>
        <v>13</v>
      </c>
      <c r="AJ19" s="1" t="n">
        <f aca="false">COUNTIF(AJ3:AJ18,"P")</f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9.5625" defaultRowHeight="15" zeroHeight="false" outlineLevelRow="0" outlineLevelCol="0"/>
  <cols>
    <col collapsed="false" customWidth="true" hidden="false" outlineLevel="0" max="1" min="1" style="1" width="4.32"/>
    <col collapsed="false" customWidth="true" hidden="false" outlineLevel="0" max="2" min="2" style="1" width="17.57"/>
    <col collapsed="false" customWidth="true" hidden="true" outlineLevel="0" max="3" min="3" style="1" width="14.7"/>
    <col collapsed="false" customWidth="true" hidden="true" outlineLevel="0" max="5" min="4" style="1" width="9.36"/>
    <col collapsed="false" customWidth="true" hidden="true" outlineLevel="0" max="6" min="6" style="1" width="15.7"/>
    <col collapsed="false" customWidth="true" hidden="true" outlineLevel="0" max="7" min="7" style="1" width="10.7"/>
    <col collapsed="false" customWidth="true" hidden="true" outlineLevel="0" max="9" min="8" style="1" width="9.36"/>
    <col collapsed="false" customWidth="true" hidden="true" outlineLevel="0" max="11" min="10" style="1" width="9.43"/>
    <col collapsed="false" customWidth="true" hidden="true" outlineLevel="0" max="12" min="12" style="1" width="11.32"/>
    <col collapsed="false" customWidth="true" hidden="true" outlineLevel="0" max="13" min="13" style="1" width="31.08"/>
    <col collapsed="false" customWidth="true" hidden="true" outlineLevel="0" max="14" min="14" style="1" width="9.43"/>
    <col collapsed="false" customWidth="true" hidden="true" outlineLevel="0" max="15" min="15" style="1" width="19.06"/>
    <col collapsed="false" customWidth="true" hidden="true" outlineLevel="0" max="16" min="16" style="1" width="9.43"/>
    <col collapsed="false" customWidth="true" hidden="true" outlineLevel="0" max="17" min="17" style="1" width="19.95"/>
    <col collapsed="false" customWidth="false" hidden="true" outlineLevel="0" max="18" min="18" style="1" width="9.5"/>
    <col collapsed="false" customWidth="true" hidden="true" outlineLevel="0" max="19" min="19" style="1" width="22.2"/>
    <col collapsed="false" customWidth="false" hidden="true" outlineLevel="0" max="21" min="20" style="1" width="9.5"/>
    <col collapsed="false" customWidth="true" hidden="true" outlineLevel="0" max="22" min="22" style="1" width="32.95"/>
    <col collapsed="false" customWidth="false" hidden="true" outlineLevel="0" max="23" min="23" style="1" width="9.55"/>
    <col collapsed="false" customWidth="true" hidden="true" outlineLevel="0" max="24" min="24" style="1" width="36.46"/>
    <col collapsed="false" customWidth="false" hidden="true" outlineLevel="0" max="26" min="25" style="1" width="9.55"/>
    <col collapsed="false" customWidth="true" hidden="true" outlineLevel="0" max="27" min="27" style="1" width="56.3"/>
    <col collapsed="false" customWidth="false" hidden="true" outlineLevel="0" max="28" min="28" style="1" width="9.55"/>
    <col collapsed="false" customWidth="false" hidden="true" outlineLevel="0" max="29" min="29" style="1" width="9.56"/>
    <col collapsed="false" customWidth="true" hidden="true" outlineLevel="0" max="30" min="30" style="1" width="65.64"/>
    <col collapsed="false" customWidth="false" hidden="true" outlineLevel="0" max="33" min="31" style="1" width="9.56"/>
    <col collapsed="false" customWidth="false" hidden="true" outlineLevel="0" max="34" min="34" style="0" width="9.56"/>
    <col collapsed="false" customWidth="true" hidden="true" outlineLevel="0" max="35" min="35" style="1" width="20.92"/>
    <col collapsed="false" customWidth="false" hidden="true" outlineLevel="0" max="37" min="36" style="0" width="9.56"/>
  </cols>
  <sheetData>
    <row r="1" customFormat="false" ht="15" hidden="false" customHeight="false" outlineLevel="0" collapsed="false">
      <c r="B1" s="2"/>
      <c r="P1" s="3"/>
      <c r="Q1" s="3"/>
      <c r="R1" s="3" t="n">
        <v>45835</v>
      </c>
      <c r="V1" s="3"/>
    </row>
    <row r="2" customFormat="false" ht="15" hidden="false" customHeight="false" outlineLevel="0" collapsed="false">
      <c r="A2" s="1" t="s">
        <v>0</v>
      </c>
      <c r="B2" s="2" t="s">
        <v>2</v>
      </c>
      <c r="C2" s="1" t="s">
        <v>4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102</v>
      </c>
      <c r="I2" s="1" t="s">
        <v>103</v>
      </c>
      <c r="J2" s="1" t="s">
        <v>104</v>
      </c>
      <c r="K2" s="1" t="s">
        <v>105</v>
      </c>
      <c r="L2" s="1" t="s">
        <v>106</v>
      </c>
      <c r="M2" s="1" t="s">
        <v>107</v>
      </c>
      <c r="N2" s="1" t="s">
        <v>108</v>
      </c>
      <c r="O2" s="1" t="s">
        <v>5</v>
      </c>
      <c r="P2" s="3" t="n">
        <v>45821</v>
      </c>
      <c r="Q2" s="3" t="n">
        <v>45898</v>
      </c>
      <c r="R2" s="3" t="n">
        <v>45905</v>
      </c>
      <c r="S2" s="1" t="s">
        <v>5</v>
      </c>
      <c r="T2" s="1" t="s">
        <v>109</v>
      </c>
      <c r="U2" s="1" t="s">
        <v>104</v>
      </c>
      <c r="V2" s="3" t="n">
        <v>45898</v>
      </c>
      <c r="W2" s="3" t="n">
        <v>45907</v>
      </c>
      <c r="Y2" s="3" t="n">
        <v>45919</v>
      </c>
      <c r="Z2" s="3" t="n">
        <v>45919</v>
      </c>
      <c r="AA2" s="1" t="s">
        <v>5</v>
      </c>
      <c r="AB2" s="3" t="n">
        <v>45926</v>
      </c>
      <c r="AC2" s="1" t="s">
        <v>8</v>
      </c>
      <c r="AE2" s="3" t="n">
        <v>45933</v>
      </c>
      <c r="AF2" s="1" t="s">
        <v>8</v>
      </c>
      <c r="AG2" s="3" t="n">
        <v>45947</v>
      </c>
      <c r="AH2" s="2" t="s">
        <v>9</v>
      </c>
      <c r="AI2" s="2" t="s">
        <v>5</v>
      </c>
      <c r="AJ2" s="3" t="n">
        <v>45961</v>
      </c>
      <c r="AK2" s="1" t="s">
        <v>10</v>
      </c>
      <c r="AL2" s="4" t="s">
        <v>104</v>
      </c>
    </row>
    <row r="3" customFormat="false" ht="15.65" hidden="false" customHeight="false" outlineLevel="0" collapsed="false">
      <c r="A3" s="1" t="n">
        <v>1</v>
      </c>
      <c r="B3" s="2" t="s">
        <v>50</v>
      </c>
      <c r="C3" s="1" t="s">
        <v>52</v>
      </c>
      <c r="D3" s="1" t="n">
        <v>1</v>
      </c>
      <c r="E3" s="1" t="n">
        <v>8</v>
      </c>
      <c r="F3" s="1" t="n">
        <v>1</v>
      </c>
      <c r="G3" s="1" t="n">
        <v>8</v>
      </c>
      <c r="H3" s="1" t="n">
        <v>0</v>
      </c>
      <c r="I3" s="1" t="n">
        <f aca="false">G3+H3/2</f>
        <v>8</v>
      </c>
      <c r="J3" s="5" t="n">
        <f aca="false">ROUND(AVERAGE(D3:F3,I3),0)</f>
        <v>5</v>
      </c>
      <c r="K3" s="1" t="str">
        <f aca="false">IF(J3&lt;7,"TEP","TEA")</f>
        <v>TEP</v>
      </c>
      <c r="L3" s="1" t="n">
        <v>7</v>
      </c>
      <c r="M3" s="1" t="s">
        <v>110</v>
      </c>
      <c r="N3" s="1" t="n">
        <v>7</v>
      </c>
      <c r="P3" s="1" t="n">
        <v>8</v>
      </c>
      <c r="Q3" s="1" t="s">
        <v>15</v>
      </c>
      <c r="R3" s="1" t="s">
        <v>15</v>
      </c>
      <c r="S3" s="1" t="s">
        <v>111</v>
      </c>
      <c r="T3" s="1" t="n">
        <v>9</v>
      </c>
      <c r="U3" s="1" t="n">
        <v>6</v>
      </c>
      <c r="V3" s="1" t="s">
        <v>53</v>
      </c>
      <c r="W3" s="1" t="n">
        <v>6</v>
      </c>
      <c r="X3" s="1" t="s">
        <v>54</v>
      </c>
      <c r="Y3" s="1" t="s">
        <v>27</v>
      </c>
      <c r="Z3" s="1" t="n">
        <v>8</v>
      </c>
      <c r="AA3" s="1" t="s">
        <v>20</v>
      </c>
      <c r="AB3" s="1" t="s">
        <v>15</v>
      </c>
      <c r="AC3" s="1" t="n">
        <v>9</v>
      </c>
      <c r="AD3" s="1" t="s">
        <v>55</v>
      </c>
      <c r="AE3" s="1" t="s">
        <v>15</v>
      </c>
      <c r="AF3" s="1" t="n">
        <v>7</v>
      </c>
      <c r="AG3" s="2" t="s">
        <v>15</v>
      </c>
      <c r="AH3" s="1" t="n">
        <v>8</v>
      </c>
      <c r="AJ3" s="1" t="s">
        <v>15</v>
      </c>
      <c r="AK3" s="1" t="n">
        <v>9</v>
      </c>
      <c r="AL3" s="6" t="n">
        <f aca="false">ROUND(AVERAGE(AK3,AH3,AF3,AC3,Z3,W3,C3),0)</f>
        <v>8</v>
      </c>
    </row>
    <row r="4" customFormat="false" ht="15.65" hidden="false" customHeight="false" outlineLevel="0" collapsed="false">
      <c r="A4" s="1" t="n">
        <v>2</v>
      </c>
      <c r="B4" s="2" t="s">
        <v>57</v>
      </c>
      <c r="C4" s="1" t="s">
        <v>52</v>
      </c>
      <c r="D4" s="1" t="n">
        <v>8</v>
      </c>
      <c r="E4" s="1" t="n">
        <v>8</v>
      </c>
      <c r="F4" s="1" t="n">
        <v>1</v>
      </c>
      <c r="G4" s="1" t="n">
        <v>8</v>
      </c>
      <c r="H4" s="1" t="n">
        <v>0</v>
      </c>
      <c r="I4" s="1" t="n">
        <f aca="false">G4+H4/2</f>
        <v>8</v>
      </c>
      <c r="J4" s="5" t="n">
        <f aca="false">ROUND(AVERAGE(D4:F4,I4),0)</f>
        <v>6</v>
      </c>
      <c r="K4" s="1" t="str">
        <f aca="false">IF(J4&lt;7,"TEP","TEA")</f>
        <v>TEP</v>
      </c>
      <c r="L4" s="1" t="n">
        <v>8</v>
      </c>
      <c r="M4" s="1" t="s">
        <v>112</v>
      </c>
      <c r="N4" s="1" t="n">
        <v>7</v>
      </c>
      <c r="P4" s="1" t="n">
        <v>8</v>
      </c>
      <c r="Q4" s="1" t="s">
        <v>27</v>
      </c>
      <c r="R4" s="1" t="s">
        <v>15</v>
      </c>
      <c r="S4" s="1" t="s">
        <v>113</v>
      </c>
      <c r="T4" s="1" t="n">
        <v>10</v>
      </c>
      <c r="U4" s="1" t="n">
        <f aca="false">ROUND(AVERAGE(T4,R4,P4,N4,L4),0)</f>
        <v>8</v>
      </c>
      <c r="Y4" s="1" t="s">
        <v>27</v>
      </c>
      <c r="AB4" s="1" t="s">
        <v>15</v>
      </c>
      <c r="AC4" s="1" t="n">
        <v>9</v>
      </c>
      <c r="AD4" s="1" t="s">
        <v>59</v>
      </c>
      <c r="AE4" s="1" t="s">
        <v>15</v>
      </c>
      <c r="AF4" s="1" t="n">
        <v>7</v>
      </c>
      <c r="AG4" s="2" t="s">
        <v>15</v>
      </c>
      <c r="AH4" s="1" t="n">
        <v>8</v>
      </c>
      <c r="AI4" s="2" t="s">
        <v>60</v>
      </c>
      <c r="AJ4" s="1" t="s">
        <v>15</v>
      </c>
      <c r="AK4" s="1" t="n">
        <v>9</v>
      </c>
      <c r="AL4" s="6" t="n">
        <f aca="false">ROUND(AVERAGE(AK4,AH4,AF4,AC4,Z4,W4,C4),0)</f>
        <v>8</v>
      </c>
    </row>
    <row r="5" customFormat="false" ht="15.65" hidden="false" customHeight="false" outlineLevel="0" collapsed="false">
      <c r="A5" s="1" t="n">
        <v>3</v>
      </c>
      <c r="B5" s="2" t="s">
        <v>12</v>
      </c>
      <c r="C5" s="1" t="s">
        <v>14</v>
      </c>
      <c r="D5" s="1" t="n">
        <v>5</v>
      </c>
      <c r="E5" s="1" t="n">
        <v>8</v>
      </c>
      <c r="F5" s="1" t="n">
        <v>10</v>
      </c>
      <c r="G5" s="1" t="n">
        <v>8</v>
      </c>
      <c r="H5" s="1" t="n">
        <v>2</v>
      </c>
      <c r="I5" s="1" t="n">
        <f aca="false">G5+H5/2</f>
        <v>9</v>
      </c>
      <c r="J5" s="5" t="n">
        <f aca="false">ROUND(AVERAGE(D5:F5,I5),0)</f>
        <v>8</v>
      </c>
      <c r="K5" s="1" t="str">
        <f aca="false">IF(J5&lt;7,"TEP","TEA")</f>
        <v>TEA</v>
      </c>
      <c r="L5" s="1" t="n">
        <v>7</v>
      </c>
      <c r="M5" s="1" t="s">
        <v>114</v>
      </c>
      <c r="N5" s="1" t="n">
        <v>8</v>
      </c>
      <c r="O5" s="1" t="s">
        <v>115</v>
      </c>
      <c r="P5" s="1" t="n">
        <v>6</v>
      </c>
      <c r="Q5" s="1" t="s">
        <v>15</v>
      </c>
      <c r="R5" s="1" t="s">
        <v>15</v>
      </c>
      <c r="T5" s="1" t="n">
        <v>6</v>
      </c>
      <c r="U5" s="1" t="n">
        <f aca="false">ROUND(AVERAGE(T5,R5,P5,N5,L5),0)</f>
        <v>7</v>
      </c>
      <c r="V5" s="1" t="s">
        <v>18</v>
      </c>
      <c r="W5" s="1" t="n">
        <v>8</v>
      </c>
      <c r="X5" s="1" t="s">
        <v>19</v>
      </c>
      <c r="Y5" s="1" t="s">
        <v>15</v>
      </c>
      <c r="Z5" s="1" t="n">
        <v>7</v>
      </c>
      <c r="AB5" s="1" t="s">
        <v>15</v>
      </c>
      <c r="AC5" s="1" t="n">
        <v>9</v>
      </c>
      <c r="AD5" s="1" t="s">
        <v>21</v>
      </c>
      <c r="AE5" s="1" t="s">
        <v>15</v>
      </c>
      <c r="AF5" s="1" t="n">
        <v>8</v>
      </c>
      <c r="AG5" s="2" t="s">
        <v>22</v>
      </c>
      <c r="AH5" s="1" t="n">
        <v>8</v>
      </c>
      <c r="AI5" s="2" t="s">
        <v>23</v>
      </c>
      <c r="AJ5" s="1" t="s">
        <v>15</v>
      </c>
      <c r="AK5" s="1" t="n">
        <v>9</v>
      </c>
      <c r="AL5" s="6" t="n">
        <f aca="false">ROUND(AVERAGE(AK5,AH5,AF5,AC5,Z5,W5,C5),0)</f>
        <v>8</v>
      </c>
    </row>
    <row r="6" customFormat="false" ht="15.65" hidden="false" customHeight="false" outlineLevel="0" collapsed="false">
      <c r="A6" s="1" t="n">
        <v>4</v>
      </c>
      <c r="B6" s="2" t="s">
        <v>25</v>
      </c>
      <c r="C6" s="1" t="s">
        <v>14</v>
      </c>
      <c r="D6" s="1" t="n">
        <v>7</v>
      </c>
      <c r="E6" s="1" t="n">
        <v>8</v>
      </c>
      <c r="F6" s="1" t="n">
        <v>1</v>
      </c>
      <c r="G6" s="1" t="n">
        <v>8</v>
      </c>
      <c r="H6" s="1" t="n">
        <v>0</v>
      </c>
      <c r="I6" s="1" t="n">
        <f aca="false">G6+H6/2</f>
        <v>8</v>
      </c>
      <c r="J6" s="5" t="n">
        <f aca="false">ROUND(AVERAGE(D6:F6,I6),0)</f>
        <v>6</v>
      </c>
      <c r="K6" s="1" t="str">
        <f aca="false">IF(J6&lt;7,"TEP","TEA")</f>
        <v>TEP</v>
      </c>
      <c r="L6" s="1" t="n">
        <v>7</v>
      </c>
      <c r="M6" s="1" t="s">
        <v>116</v>
      </c>
      <c r="N6" s="1" t="n">
        <v>8</v>
      </c>
      <c r="P6" s="1" t="n">
        <v>6</v>
      </c>
      <c r="Q6" s="1" t="s">
        <v>15</v>
      </c>
      <c r="R6" s="1" t="s">
        <v>15</v>
      </c>
      <c r="T6" s="1" t="n">
        <v>8</v>
      </c>
      <c r="U6" s="1" t="n">
        <f aca="false">ROUND(AVERAGE(T6,R6,P6,N6,L6),0)</f>
        <v>7</v>
      </c>
      <c r="Y6" s="1" t="s">
        <v>27</v>
      </c>
      <c r="Z6" s="1" t="n">
        <v>7</v>
      </c>
      <c r="AB6" s="1" t="s">
        <v>15</v>
      </c>
      <c r="AC6" s="1" t="n">
        <v>9</v>
      </c>
      <c r="AE6" s="1" t="s">
        <v>27</v>
      </c>
      <c r="AF6" s="1" t="n">
        <v>8</v>
      </c>
      <c r="AG6" s="2" t="s">
        <v>15</v>
      </c>
      <c r="AH6" s="1" t="n">
        <v>8</v>
      </c>
      <c r="AJ6" s="1" t="s">
        <v>15</v>
      </c>
      <c r="AK6" s="1" t="n">
        <v>9</v>
      </c>
      <c r="AL6" s="6" t="n">
        <f aca="false">ROUND(AVERAGE(AK6,AH6,AF6,AC6,Z6,W6,C6),0)</f>
        <v>8</v>
      </c>
    </row>
    <row r="7" customFormat="false" ht="15.65" hidden="false" customHeight="false" outlineLevel="0" collapsed="false">
      <c r="A7" s="1" t="n">
        <v>5</v>
      </c>
      <c r="B7" s="2" t="s">
        <v>29</v>
      </c>
      <c r="C7" s="1" t="s">
        <v>14</v>
      </c>
      <c r="D7" s="1" t="n">
        <v>7</v>
      </c>
      <c r="E7" s="1" t="n">
        <v>8</v>
      </c>
      <c r="F7" s="1" t="n">
        <v>9</v>
      </c>
      <c r="G7" s="1" t="n">
        <v>8</v>
      </c>
      <c r="H7" s="1" t="n">
        <v>0</v>
      </c>
      <c r="I7" s="1" t="n">
        <f aca="false">G7+H7/2</f>
        <v>8</v>
      </c>
      <c r="J7" s="5" t="n">
        <f aca="false">ROUND(AVERAGE(D7:F7,I7),0)</f>
        <v>8</v>
      </c>
      <c r="K7" s="1" t="str">
        <f aca="false">IF(J7&lt;7,"TEP","TEA")</f>
        <v>TEA</v>
      </c>
      <c r="L7" s="1" t="n">
        <v>7</v>
      </c>
      <c r="M7" s="1" t="s">
        <v>117</v>
      </c>
      <c r="N7" s="1" t="n">
        <v>8</v>
      </c>
      <c r="P7" s="1" t="n">
        <v>6</v>
      </c>
      <c r="Q7" s="1" t="s">
        <v>15</v>
      </c>
      <c r="R7" s="1" t="s">
        <v>15</v>
      </c>
      <c r="T7" s="1" t="n">
        <v>9</v>
      </c>
      <c r="U7" s="1" t="n">
        <f aca="false">ROUND(AVERAGE(T7,R7,P7,N7,L7),0)</f>
        <v>8</v>
      </c>
      <c r="Y7" s="1" t="s">
        <v>27</v>
      </c>
      <c r="Z7" s="1" t="n">
        <v>7</v>
      </c>
      <c r="AB7" s="1" t="s">
        <v>15</v>
      </c>
      <c r="AC7" s="1" t="n">
        <v>7</v>
      </c>
      <c r="AD7" s="1" t="s">
        <v>118</v>
      </c>
      <c r="AE7" s="1" t="s">
        <v>15</v>
      </c>
      <c r="AF7" s="1" t="n">
        <v>8</v>
      </c>
      <c r="AG7" s="2" t="s">
        <v>15</v>
      </c>
      <c r="AH7" s="1" t="n">
        <v>8</v>
      </c>
      <c r="AJ7" s="1" t="s">
        <v>15</v>
      </c>
      <c r="AK7" s="1" t="n">
        <v>9</v>
      </c>
      <c r="AL7" s="6" t="n">
        <f aca="false">ROUND(AVERAGE(AK7,AH7,AF7,AC7,Z7,W7,C7),0)</f>
        <v>8</v>
      </c>
    </row>
    <row r="8" customFormat="false" ht="15.65" hidden="false" customHeight="false" outlineLevel="0" collapsed="false">
      <c r="A8" s="1" t="n">
        <v>6</v>
      </c>
      <c r="B8" s="2" t="s">
        <v>62</v>
      </c>
      <c r="C8" s="1" t="s">
        <v>52</v>
      </c>
      <c r="D8" s="1" t="n">
        <v>3</v>
      </c>
      <c r="E8" s="1" t="n">
        <v>8</v>
      </c>
      <c r="F8" s="1" t="n">
        <v>1</v>
      </c>
      <c r="G8" s="1" t="n">
        <v>8</v>
      </c>
      <c r="H8" s="1" t="n">
        <v>0</v>
      </c>
      <c r="I8" s="1" t="n">
        <f aca="false">G8+H8/2</f>
        <v>8</v>
      </c>
      <c r="J8" s="5" t="n">
        <f aca="false">ROUND(AVERAGE(D8:F8,I8),0)</f>
        <v>5</v>
      </c>
      <c r="K8" s="1" t="str">
        <f aca="false">IF(J8&lt;7,"TEP","TEA")</f>
        <v>TEP</v>
      </c>
      <c r="L8" s="1" t="n">
        <v>8</v>
      </c>
      <c r="M8" s="1" t="s">
        <v>119</v>
      </c>
      <c r="N8" s="1" t="n">
        <v>7</v>
      </c>
      <c r="P8" s="1" t="n">
        <v>8</v>
      </c>
      <c r="Q8" s="1" t="s">
        <v>15</v>
      </c>
      <c r="R8" s="1" t="s">
        <v>15</v>
      </c>
      <c r="S8" s="1" t="s">
        <v>120</v>
      </c>
      <c r="T8" s="1" t="n">
        <v>9</v>
      </c>
      <c r="U8" s="1" t="n">
        <f aca="false">ROUND(AVERAGE(T8,R8,P8,N8,L8),0)</f>
        <v>8</v>
      </c>
      <c r="Y8" s="1" t="s">
        <v>15</v>
      </c>
      <c r="Z8" s="1" t="n">
        <v>6</v>
      </c>
      <c r="AB8" s="1" t="s">
        <v>15</v>
      </c>
      <c r="AC8" s="1" t="n">
        <v>7</v>
      </c>
      <c r="AD8" s="1" t="s">
        <v>65</v>
      </c>
      <c r="AE8" s="1" t="s">
        <v>15</v>
      </c>
      <c r="AF8" s="1" t="n">
        <v>8</v>
      </c>
      <c r="AG8" s="2" t="s">
        <v>15</v>
      </c>
      <c r="AH8" s="1" t="n">
        <v>8</v>
      </c>
      <c r="AI8" s="2" t="s">
        <v>66</v>
      </c>
      <c r="AJ8" s="1" t="s">
        <v>15</v>
      </c>
      <c r="AK8" s="1" t="n">
        <v>9</v>
      </c>
      <c r="AL8" s="6" t="n">
        <f aca="false">ROUND(AVERAGE(AK8,AH8,AF8,AC8,Z8,W8,C8),0)</f>
        <v>8</v>
      </c>
    </row>
    <row r="9" customFormat="false" ht="15.65" hidden="false" customHeight="false" outlineLevel="0" collapsed="false">
      <c r="A9" s="1" t="n">
        <v>7</v>
      </c>
      <c r="B9" s="2" t="s">
        <v>77</v>
      </c>
      <c r="C9" s="1" t="s">
        <v>79</v>
      </c>
      <c r="D9" s="1" t="n">
        <v>5</v>
      </c>
      <c r="E9" s="1" t="n">
        <v>8</v>
      </c>
      <c r="F9" s="1" t="n">
        <v>1</v>
      </c>
      <c r="G9" s="1" t="n">
        <v>8</v>
      </c>
      <c r="H9" s="1" t="n">
        <v>0</v>
      </c>
      <c r="I9" s="1" t="n">
        <f aca="false">G9+H9/2</f>
        <v>8</v>
      </c>
      <c r="J9" s="5" t="n">
        <f aca="false">ROUND(AVERAGE(D9:F9,I9),0)</f>
        <v>6</v>
      </c>
      <c r="K9" s="1" t="str">
        <f aca="false">IF(J9&lt;7,"TEP","TEA")</f>
        <v>TEP</v>
      </c>
      <c r="L9" s="1" t="n">
        <v>7</v>
      </c>
      <c r="M9" s="1" t="s">
        <v>121</v>
      </c>
      <c r="N9" s="1" t="n">
        <v>7</v>
      </c>
      <c r="O9" s="1" t="s">
        <v>122</v>
      </c>
      <c r="P9" s="1" t="n">
        <v>6</v>
      </c>
      <c r="Q9" s="1" t="s">
        <v>15</v>
      </c>
      <c r="R9" s="1" t="s">
        <v>15</v>
      </c>
      <c r="S9" s="1" t="s">
        <v>122</v>
      </c>
      <c r="T9" s="1" t="n">
        <v>9</v>
      </c>
      <c r="U9" s="1" t="n">
        <f aca="false">ROUND(AVERAGE(T9,R9,P9,N9,L9),0)</f>
        <v>7</v>
      </c>
      <c r="V9" s="1" t="s">
        <v>81</v>
      </c>
      <c r="W9" s="1" t="n">
        <v>7</v>
      </c>
      <c r="X9" s="1" t="s">
        <v>82</v>
      </c>
      <c r="Y9" s="1" t="s">
        <v>15</v>
      </c>
      <c r="Z9" s="1" t="n">
        <v>1</v>
      </c>
      <c r="AB9" s="1" t="s">
        <v>15</v>
      </c>
      <c r="AC9" s="1" t="n">
        <v>7</v>
      </c>
      <c r="AD9" s="1" t="s">
        <v>84</v>
      </c>
      <c r="AE9" s="1" t="s">
        <v>15</v>
      </c>
      <c r="AF9" s="1" t="n">
        <v>7</v>
      </c>
      <c r="AG9" s="2" t="s">
        <v>15</v>
      </c>
      <c r="AH9" s="1" t="n">
        <v>9</v>
      </c>
      <c r="AI9" s="2" t="s">
        <v>85</v>
      </c>
      <c r="AJ9" s="1" t="s">
        <v>15</v>
      </c>
      <c r="AK9" s="1" t="n">
        <v>9</v>
      </c>
      <c r="AL9" s="6" t="n">
        <f aca="false">ROUND(AVERAGE(AK9,AH9,AF9,AC9,Z9,W9,C9),0)</f>
        <v>7</v>
      </c>
    </row>
    <row r="10" customFormat="false" ht="15.65" hidden="false" customHeight="false" outlineLevel="0" collapsed="false">
      <c r="A10" s="1" t="n">
        <v>8</v>
      </c>
      <c r="B10" s="2" t="s">
        <v>36</v>
      </c>
      <c r="C10" s="1" t="s">
        <v>38</v>
      </c>
      <c r="D10" s="1" t="n">
        <v>2</v>
      </c>
      <c r="E10" s="1" t="n">
        <v>6</v>
      </c>
      <c r="F10" s="1" t="n">
        <v>1</v>
      </c>
      <c r="G10" s="1" t="n">
        <v>1</v>
      </c>
      <c r="H10" s="1" t="n">
        <v>0</v>
      </c>
      <c r="I10" s="1" t="n">
        <f aca="false">G10+H10/2</f>
        <v>1</v>
      </c>
      <c r="J10" s="5" t="n">
        <f aca="false">ROUND(AVERAGE(D10:F10,I10),0)</f>
        <v>3</v>
      </c>
      <c r="K10" s="1" t="str">
        <f aca="false">IF(J10&lt;7,"TEP","TEA")</f>
        <v>TEP</v>
      </c>
      <c r="L10" s="1" t="n">
        <v>7</v>
      </c>
      <c r="M10" s="1" t="s">
        <v>123</v>
      </c>
      <c r="N10" s="1" t="n">
        <v>8</v>
      </c>
      <c r="P10" s="1" t="n">
        <v>9</v>
      </c>
      <c r="Q10" s="1" t="s">
        <v>15</v>
      </c>
      <c r="R10" s="1" t="s">
        <v>27</v>
      </c>
      <c r="S10" s="1" t="s">
        <v>124</v>
      </c>
      <c r="T10" s="1" t="n">
        <v>9</v>
      </c>
      <c r="U10" s="1" t="n">
        <f aca="false">ROUND(AVERAGE(T10,R10,P10,N10,L10),0)</f>
        <v>8</v>
      </c>
      <c r="V10" s="1" t="s">
        <v>39</v>
      </c>
      <c r="X10" s="1" t="s">
        <v>40</v>
      </c>
      <c r="Y10" s="1" t="s">
        <v>15</v>
      </c>
      <c r="AA10" s="1" t="s">
        <v>40</v>
      </c>
      <c r="AB10" s="1" t="s">
        <v>15</v>
      </c>
      <c r="AC10" s="1" t="n">
        <v>7</v>
      </c>
      <c r="AD10" s="1" t="s">
        <v>40</v>
      </c>
      <c r="AE10" s="1" t="s">
        <v>15</v>
      </c>
      <c r="AF10" s="1" t="n">
        <v>8</v>
      </c>
      <c r="AG10" s="2" t="s">
        <v>15</v>
      </c>
      <c r="AH10" s="1" t="n">
        <v>8</v>
      </c>
      <c r="AJ10" s="1" t="s">
        <v>15</v>
      </c>
      <c r="AK10" s="1" t="n">
        <v>9</v>
      </c>
      <c r="AL10" s="6" t="n">
        <f aca="false">ROUND(AVERAGE(AK10,AH10,AF10,AC10,Z10,W10,C10),0)</f>
        <v>8</v>
      </c>
    </row>
    <row r="11" customFormat="false" ht="15.65" hidden="false" customHeight="false" outlineLevel="0" collapsed="false">
      <c r="A11" s="1" t="n">
        <v>9</v>
      </c>
      <c r="B11" s="2" t="s">
        <v>68</v>
      </c>
      <c r="C11" s="1" t="s">
        <v>52</v>
      </c>
      <c r="D11" s="1" t="n">
        <v>7</v>
      </c>
      <c r="E11" s="1" t="n">
        <v>8</v>
      </c>
      <c r="F11" s="1" t="n">
        <v>8</v>
      </c>
      <c r="G11" s="1" t="n">
        <v>8</v>
      </c>
      <c r="H11" s="1" t="n">
        <v>0</v>
      </c>
      <c r="I11" s="1" t="n">
        <f aca="false">G11+H11/2</f>
        <v>8</v>
      </c>
      <c r="J11" s="5" t="n">
        <f aca="false">ROUND(AVERAGE(D11:F11,I11),0)</f>
        <v>8</v>
      </c>
      <c r="K11" s="1" t="str">
        <f aca="false">IF(J11&lt;7,"TEP","TEA")</f>
        <v>TEA</v>
      </c>
      <c r="L11" s="1" t="n">
        <v>8</v>
      </c>
      <c r="N11" s="1" t="n">
        <v>7</v>
      </c>
      <c r="P11" s="1" t="n">
        <v>8</v>
      </c>
      <c r="Q11" s="1" t="s">
        <v>15</v>
      </c>
      <c r="R11" s="1" t="s">
        <v>27</v>
      </c>
      <c r="T11" s="1" t="n">
        <v>9</v>
      </c>
      <c r="U11" s="1" t="n">
        <f aca="false">ROUND(AVERAGE(T11,R11,P11,N11,L11),0)</f>
        <v>8</v>
      </c>
      <c r="Y11" s="1" t="s">
        <v>27</v>
      </c>
      <c r="Z11" s="1" t="n">
        <v>6</v>
      </c>
      <c r="AB11" s="1" t="s">
        <v>15</v>
      </c>
      <c r="AC11" s="1" t="n">
        <v>8</v>
      </c>
      <c r="AD11" s="1" t="s">
        <v>70</v>
      </c>
      <c r="AE11" s="1" t="s">
        <v>15</v>
      </c>
      <c r="AF11" s="1" t="n">
        <v>8</v>
      </c>
      <c r="AG11" s="2" t="s">
        <v>15</v>
      </c>
      <c r="AH11" s="1" t="n">
        <v>8</v>
      </c>
      <c r="AI11" s="2" t="s">
        <v>71</v>
      </c>
      <c r="AJ11" s="1" t="s">
        <v>15</v>
      </c>
      <c r="AK11" s="1" t="n">
        <v>9</v>
      </c>
      <c r="AL11" s="6" t="n">
        <f aca="false">ROUND(AVERAGE(AK11,AH11,AF11,AC11,Z11,W11,C11),0)</f>
        <v>8</v>
      </c>
    </row>
    <row r="12" customFormat="false" ht="15.65" hidden="false" customHeight="false" outlineLevel="0" collapsed="false">
      <c r="A12" s="1" t="n">
        <v>10</v>
      </c>
      <c r="B12" s="2" t="s">
        <v>87</v>
      </c>
      <c r="C12" s="1" t="s">
        <v>79</v>
      </c>
      <c r="D12" s="1" t="n">
        <v>6</v>
      </c>
      <c r="E12" s="1" t="n">
        <v>8</v>
      </c>
      <c r="F12" s="1" t="n">
        <v>1</v>
      </c>
      <c r="G12" s="1" t="n">
        <v>8</v>
      </c>
      <c r="H12" s="1" t="n">
        <v>0</v>
      </c>
      <c r="I12" s="1" t="n">
        <f aca="false">G12+H12/2</f>
        <v>8</v>
      </c>
      <c r="J12" s="5" t="n">
        <f aca="false">ROUND(AVERAGE(D12:F12,I12),0)</f>
        <v>6</v>
      </c>
      <c r="K12" s="1" t="str">
        <f aca="false">IF(J12&lt;7,"TEP","TEA")</f>
        <v>TEP</v>
      </c>
      <c r="L12" s="1" t="n">
        <v>7</v>
      </c>
      <c r="M12" s="1" t="s">
        <v>125</v>
      </c>
      <c r="N12" s="1" t="n">
        <v>7</v>
      </c>
      <c r="O12" s="1" t="s">
        <v>126</v>
      </c>
      <c r="P12" s="1" t="n">
        <v>6</v>
      </c>
      <c r="Q12" s="1" t="s">
        <v>15</v>
      </c>
      <c r="R12" s="1" t="s">
        <v>15</v>
      </c>
      <c r="S12" s="1" t="s">
        <v>126</v>
      </c>
      <c r="T12" s="1" t="n">
        <v>9</v>
      </c>
      <c r="U12" s="1" t="n">
        <f aca="false">ROUND(AVERAGE(T12,R12,P12,N12,L12),0)</f>
        <v>7</v>
      </c>
      <c r="Y12" s="1" t="s">
        <v>27</v>
      </c>
      <c r="AA12" s="1" t="s">
        <v>64</v>
      </c>
      <c r="AB12" s="1" t="s">
        <v>27</v>
      </c>
      <c r="AC12" s="1" t="n">
        <v>8</v>
      </c>
      <c r="AD12" s="1" t="s">
        <v>89</v>
      </c>
      <c r="AE12" s="1" t="s">
        <v>15</v>
      </c>
      <c r="AF12" s="1" t="n">
        <v>8</v>
      </c>
      <c r="AG12" s="2" t="s">
        <v>15</v>
      </c>
      <c r="AH12" s="1" t="n">
        <v>9</v>
      </c>
      <c r="AI12" s="2" t="s">
        <v>90</v>
      </c>
      <c r="AJ12" s="1" t="s">
        <v>27</v>
      </c>
      <c r="AK12" s="1" t="n">
        <v>9</v>
      </c>
      <c r="AL12" s="6" t="n">
        <f aca="false">ROUND(AVERAGE(AK12,AH12,AF12,AC12,Z12,W12,C12),0)</f>
        <v>9</v>
      </c>
    </row>
    <row r="13" customFormat="false" ht="15.65" hidden="false" customHeight="false" outlineLevel="0" collapsed="false">
      <c r="A13" s="1" t="n">
        <v>11</v>
      </c>
      <c r="B13" s="2" t="s">
        <v>73</v>
      </c>
      <c r="C13" s="1" t="s">
        <v>52</v>
      </c>
      <c r="D13" s="1" t="n">
        <v>1</v>
      </c>
      <c r="E13" s="1" t="n">
        <v>8</v>
      </c>
      <c r="F13" s="1" t="n">
        <v>1</v>
      </c>
      <c r="G13" s="1" t="n">
        <v>8</v>
      </c>
      <c r="H13" s="1" t="n">
        <v>0</v>
      </c>
      <c r="I13" s="1" t="n">
        <f aca="false">G13+H13/2</f>
        <v>8</v>
      </c>
      <c r="J13" s="5" t="n">
        <f aca="false">ROUND(AVERAGE(D13:F13,I13),0)</f>
        <v>5</v>
      </c>
      <c r="K13" s="1" t="str">
        <f aca="false">IF(J13&lt;7,"TEP","TEA")</f>
        <v>TEP</v>
      </c>
      <c r="L13" s="1" t="n">
        <v>8</v>
      </c>
      <c r="N13" s="1" t="n">
        <v>7</v>
      </c>
      <c r="P13" s="1" t="n">
        <v>8</v>
      </c>
      <c r="Q13" s="1" t="s">
        <v>15</v>
      </c>
      <c r="R13" s="1" t="s">
        <v>15</v>
      </c>
      <c r="T13" s="1" t="n">
        <v>10</v>
      </c>
      <c r="U13" s="1" t="n">
        <f aca="false">ROUND(AVERAGE(T13,R13,P13,N13,L13),0)</f>
        <v>8</v>
      </c>
      <c r="Y13" s="1" t="s">
        <v>27</v>
      </c>
      <c r="AB13" s="1" t="s">
        <v>15</v>
      </c>
      <c r="AC13" s="1" t="n">
        <v>7</v>
      </c>
      <c r="AE13" s="1" t="s">
        <v>27</v>
      </c>
      <c r="AF13" s="1" t="n">
        <v>7</v>
      </c>
      <c r="AG13" s="2" t="s">
        <v>15</v>
      </c>
      <c r="AH13" s="1" t="n">
        <v>8</v>
      </c>
      <c r="AI13" s="2" t="s">
        <v>75</v>
      </c>
      <c r="AJ13" s="1" t="s">
        <v>15</v>
      </c>
      <c r="AK13" s="1" t="n">
        <v>9</v>
      </c>
      <c r="AL13" s="6" t="n">
        <f aca="false">ROUND(AVERAGE(AK13,AH13,AF13,AC13,Z13,W13,C13),0)</f>
        <v>8</v>
      </c>
    </row>
    <row r="14" customFormat="false" ht="15.65" hidden="false" customHeight="false" outlineLevel="0" collapsed="false">
      <c r="A14" s="1" t="n">
        <v>12</v>
      </c>
      <c r="B14" s="2" t="s">
        <v>92</v>
      </c>
      <c r="C14" s="1" t="s">
        <v>79</v>
      </c>
      <c r="D14" s="1" t="n">
        <v>2</v>
      </c>
      <c r="E14" s="1" t="n">
        <v>8</v>
      </c>
      <c r="F14" s="1" t="n">
        <v>10</v>
      </c>
      <c r="G14" s="1" t="n">
        <v>8</v>
      </c>
      <c r="H14" s="1" t="n">
        <v>0</v>
      </c>
      <c r="I14" s="1" t="n">
        <f aca="false">G14+H14/2</f>
        <v>8</v>
      </c>
      <c r="J14" s="5" t="n">
        <f aca="false">ROUND(AVERAGE(D14:F14,I14),0)</f>
        <v>7</v>
      </c>
      <c r="K14" s="1" t="str">
        <f aca="false">IF(J14&lt;7,"TEP","TEA")</f>
        <v>TEA</v>
      </c>
      <c r="L14" s="1" t="n">
        <v>7</v>
      </c>
      <c r="M14" s="1" t="s">
        <v>127</v>
      </c>
      <c r="N14" s="1" t="n">
        <v>7</v>
      </c>
      <c r="P14" s="1" t="n">
        <v>6</v>
      </c>
      <c r="Q14" s="1" t="s">
        <v>15</v>
      </c>
      <c r="R14" s="1" t="s">
        <v>15</v>
      </c>
      <c r="T14" s="1" t="n">
        <v>6</v>
      </c>
      <c r="U14" s="1" t="n">
        <f aca="false">ROUND(AVERAGE(T14,R14,P14,N14,L14),0)</f>
        <v>7</v>
      </c>
      <c r="Y14" s="1" t="s">
        <v>15</v>
      </c>
      <c r="AB14" s="1" t="s">
        <v>15</v>
      </c>
      <c r="AC14" s="1" t="n">
        <v>7</v>
      </c>
      <c r="AD14" s="1" t="s">
        <v>94</v>
      </c>
      <c r="AE14" s="1" t="s">
        <v>15</v>
      </c>
      <c r="AF14" s="1" t="n">
        <v>7</v>
      </c>
      <c r="AG14" s="2" t="s">
        <v>22</v>
      </c>
      <c r="AH14" s="1" t="n">
        <v>9</v>
      </c>
      <c r="AJ14" s="1" t="s">
        <v>27</v>
      </c>
      <c r="AK14" s="1" t="n">
        <v>9</v>
      </c>
      <c r="AL14" s="6" t="n">
        <f aca="false">ROUND(AVERAGE(AK14,AH14,AF14,AC14,Z14,W14,C14),0)</f>
        <v>8</v>
      </c>
    </row>
    <row r="15" customFormat="false" ht="15.65" hidden="false" customHeight="false" outlineLevel="0" collapsed="false">
      <c r="A15" s="1" t="n">
        <v>13</v>
      </c>
      <c r="B15" s="2" t="s">
        <v>96</v>
      </c>
      <c r="C15" s="1" t="s">
        <v>79</v>
      </c>
      <c r="D15" s="1" t="n">
        <v>6</v>
      </c>
      <c r="E15" s="1" t="n">
        <v>8</v>
      </c>
      <c r="F15" s="1" t="n">
        <v>1</v>
      </c>
      <c r="G15" s="1" t="n">
        <v>8</v>
      </c>
      <c r="H15" s="1" t="n">
        <v>2</v>
      </c>
      <c r="I15" s="1" t="n">
        <f aca="false">G15+H15/2</f>
        <v>9</v>
      </c>
      <c r="J15" s="5" t="n">
        <f aca="false">ROUND(AVERAGE(D15:F15,I15),0)</f>
        <v>6</v>
      </c>
      <c r="K15" s="1" t="str">
        <f aca="false">IF(J15&lt;7,"TEP","TEA")</f>
        <v>TEP</v>
      </c>
      <c r="L15" s="1" t="n">
        <v>7</v>
      </c>
      <c r="N15" s="1" t="n">
        <v>7</v>
      </c>
      <c r="P15" s="1" t="n">
        <v>6</v>
      </c>
      <c r="Q15" s="1" t="s">
        <v>15</v>
      </c>
      <c r="R15" s="1" t="s">
        <v>15</v>
      </c>
      <c r="T15" s="1" t="n">
        <v>8</v>
      </c>
      <c r="U15" s="1" t="n">
        <f aca="false">ROUND(AVERAGE(T15,R15,P15,N15,L15),0)</f>
        <v>7</v>
      </c>
      <c r="Y15" s="1" t="s">
        <v>27</v>
      </c>
      <c r="Z15" s="1" t="n">
        <v>7</v>
      </c>
      <c r="AA15" s="1" t="s">
        <v>83</v>
      </c>
      <c r="AB15" s="1" t="s">
        <v>15</v>
      </c>
      <c r="AC15" s="1" t="n">
        <v>8</v>
      </c>
      <c r="AD15" s="1" t="s">
        <v>128</v>
      </c>
      <c r="AE15" s="1" t="s">
        <v>15</v>
      </c>
      <c r="AF15" s="1" t="n">
        <v>8</v>
      </c>
      <c r="AG15" s="2" t="s">
        <v>15</v>
      </c>
      <c r="AH15" s="1" t="n">
        <v>9</v>
      </c>
      <c r="AJ15" s="1" t="s">
        <v>15</v>
      </c>
      <c r="AK15" s="1" t="n">
        <v>9</v>
      </c>
      <c r="AL15" s="6" t="n">
        <f aca="false">ROUND(AVERAGE(AK15,AH15,AF15,AC15,Z15,W15,C15),0)</f>
        <v>8</v>
      </c>
    </row>
    <row r="16" customFormat="false" ht="15.65" hidden="false" customHeight="false" outlineLevel="0" collapsed="false">
      <c r="A16" s="1" t="n">
        <v>14</v>
      </c>
      <c r="B16" s="2" t="s">
        <v>42</v>
      </c>
      <c r="C16" s="1" t="s">
        <v>38</v>
      </c>
      <c r="D16" s="1" t="n">
        <v>1</v>
      </c>
      <c r="E16" s="1" t="n">
        <v>6</v>
      </c>
      <c r="F16" s="1" t="n">
        <v>1</v>
      </c>
      <c r="G16" s="1" t="n">
        <v>1</v>
      </c>
      <c r="H16" s="1" t="n">
        <v>0</v>
      </c>
      <c r="I16" s="1" t="n">
        <f aca="false">G16+H16/2</f>
        <v>1</v>
      </c>
      <c r="J16" s="5" t="n">
        <f aca="false">ROUND(AVERAGE(D16:F16,I16),0)</f>
        <v>2</v>
      </c>
      <c r="K16" s="1" t="str">
        <f aca="false">IF(J16&lt;7,"TEP","TEA")</f>
        <v>TEP</v>
      </c>
      <c r="L16" s="1" t="n">
        <v>7</v>
      </c>
      <c r="N16" s="1" t="n">
        <v>8</v>
      </c>
      <c r="P16" s="1" t="n">
        <v>7</v>
      </c>
      <c r="Q16" s="1" t="s">
        <v>15</v>
      </c>
      <c r="R16" s="1" t="s">
        <v>15</v>
      </c>
      <c r="S16" s="1" t="s">
        <v>129</v>
      </c>
      <c r="T16" s="1" t="n">
        <v>7</v>
      </c>
      <c r="U16" s="1" t="n">
        <f aca="false">ROUND(AVERAGE(T16,R16,P16,N16,L16),0)</f>
        <v>7</v>
      </c>
      <c r="W16" s="1" t="n">
        <v>6</v>
      </c>
      <c r="X16" s="1" t="s">
        <v>44</v>
      </c>
      <c r="Y16" s="1" t="s">
        <v>15</v>
      </c>
      <c r="Z16" s="1" t="n">
        <v>3</v>
      </c>
      <c r="AA16" s="1" t="s">
        <v>44</v>
      </c>
      <c r="AB16" s="1" t="s">
        <v>15</v>
      </c>
      <c r="AC16" s="1" t="n">
        <v>3</v>
      </c>
      <c r="AD16" s="1" t="s">
        <v>44</v>
      </c>
      <c r="AE16" s="1" t="s">
        <v>15</v>
      </c>
      <c r="AF16" s="1" t="n">
        <v>2</v>
      </c>
      <c r="AG16" s="2" t="s">
        <v>15</v>
      </c>
      <c r="AH16" s="1" t="n">
        <v>5</v>
      </c>
      <c r="AI16" s="2" t="s">
        <v>45</v>
      </c>
      <c r="AJ16" s="1" t="s">
        <v>27</v>
      </c>
      <c r="AK16" s="1" t="n">
        <v>1</v>
      </c>
      <c r="AL16" s="6" t="n">
        <f aca="false">ROUND(AVERAGE(AK16,AH16,AF16,AC16,Z16,W16,C16),0)</f>
        <v>3</v>
      </c>
    </row>
    <row r="17" customFormat="false" ht="15.65" hidden="false" customHeight="false" outlineLevel="0" collapsed="false">
      <c r="A17" s="1" t="n">
        <v>15</v>
      </c>
      <c r="B17" s="2" t="s">
        <v>47</v>
      </c>
      <c r="C17" s="1" t="s">
        <v>38</v>
      </c>
      <c r="D17" s="1" t="n">
        <v>1</v>
      </c>
      <c r="E17" s="1" t="n">
        <v>6</v>
      </c>
      <c r="F17" s="1" t="n">
        <v>1</v>
      </c>
      <c r="G17" s="1" t="n">
        <v>1</v>
      </c>
      <c r="H17" s="1" t="n">
        <v>0</v>
      </c>
      <c r="I17" s="1" t="n">
        <f aca="false">G17+H17/2</f>
        <v>1</v>
      </c>
      <c r="J17" s="5" t="n">
        <f aca="false">ROUND(AVERAGE(D17:F17,I17),0)</f>
        <v>2</v>
      </c>
      <c r="K17" s="1" t="str">
        <f aca="false">IF(J17&lt;7,"TEP","TEA")</f>
        <v>TEP</v>
      </c>
      <c r="L17" s="1" t="n">
        <v>1</v>
      </c>
      <c r="N17" s="1" t="n">
        <v>8</v>
      </c>
      <c r="P17" s="1" t="n">
        <v>4</v>
      </c>
      <c r="Q17" s="1" t="s">
        <v>27</v>
      </c>
      <c r="R17" s="1" t="s">
        <v>27</v>
      </c>
      <c r="S17" s="1" t="s">
        <v>130</v>
      </c>
      <c r="T17" s="1" t="n">
        <v>1</v>
      </c>
      <c r="U17" s="1" t="n">
        <f aca="false">ROUND(AVERAGE(T17,R17,P17,N17,L17),0)</f>
        <v>4</v>
      </c>
      <c r="V17" s="1" t="s">
        <v>27</v>
      </c>
      <c r="Y17" s="1" t="s">
        <v>27</v>
      </c>
      <c r="Z17" s="1" t="n">
        <v>7</v>
      </c>
      <c r="AB17" s="1" t="s">
        <v>27</v>
      </c>
      <c r="AC17" s="1" t="n">
        <v>1</v>
      </c>
      <c r="AE17" s="1" t="s">
        <v>27</v>
      </c>
      <c r="AF17" s="1" t="n">
        <v>1</v>
      </c>
      <c r="AG17" s="2" t="s">
        <v>27</v>
      </c>
      <c r="AH17" s="1" t="n">
        <v>1</v>
      </c>
      <c r="AJ17" s="1" t="s">
        <v>15</v>
      </c>
      <c r="AK17" s="1" t="n">
        <v>1</v>
      </c>
      <c r="AL17" s="6" t="n">
        <f aca="false">ROUND(AVERAGE(AK17,AH17,AF17,AC17,Z17,W17,C17),0)</f>
        <v>2</v>
      </c>
    </row>
    <row r="18" customFormat="false" ht="15.65" hidden="false" customHeight="false" outlineLevel="0" collapsed="false">
      <c r="A18" s="1" t="n">
        <v>16</v>
      </c>
      <c r="B18" s="2" t="s">
        <v>32</v>
      </c>
      <c r="C18" s="1" t="s">
        <v>14</v>
      </c>
      <c r="D18" s="1" t="n">
        <v>7</v>
      </c>
      <c r="E18" s="1" t="n">
        <v>8</v>
      </c>
      <c r="F18" s="1" t="n">
        <v>1</v>
      </c>
      <c r="G18" s="1" t="n">
        <v>8</v>
      </c>
      <c r="H18" s="1" t="n">
        <v>0</v>
      </c>
      <c r="I18" s="1" t="n">
        <f aca="false">G18+H18/2</f>
        <v>8</v>
      </c>
      <c r="J18" s="5" t="n">
        <f aca="false">ROUND(AVERAGE(D18:F18,I18),0)</f>
        <v>6</v>
      </c>
      <c r="K18" s="1" t="str">
        <f aca="false">IF(J18&lt;7,"TEP","TEA")</f>
        <v>TEP</v>
      </c>
      <c r="L18" s="1" t="n">
        <v>7</v>
      </c>
      <c r="N18" s="1" t="n">
        <v>8</v>
      </c>
      <c r="P18" s="1" t="n">
        <v>6</v>
      </c>
      <c r="Q18" s="1" t="s">
        <v>15</v>
      </c>
      <c r="R18" s="1" t="s">
        <v>15</v>
      </c>
      <c r="T18" s="1" t="n">
        <v>10</v>
      </c>
      <c r="U18" s="1" t="n">
        <f aca="false">ROUND(AVERAGE(T18,R18,P18,N18,L18),0)</f>
        <v>8</v>
      </c>
      <c r="Y18" s="1" t="s">
        <v>15</v>
      </c>
      <c r="AB18" s="1" t="s">
        <v>15</v>
      </c>
      <c r="AC18" s="1" t="n">
        <v>8</v>
      </c>
      <c r="AD18" s="1" t="s">
        <v>34</v>
      </c>
      <c r="AE18" s="1" t="s">
        <v>15</v>
      </c>
      <c r="AF18" s="1" t="n">
        <v>8</v>
      </c>
      <c r="AG18" s="2" t="s">
        <v>15</v>
      </c>
      <c r="AH18" s="1" t="n">
        <v>8</v>
      </c>
      <c r="AJ18" s="1" t="s">
        <v>15</v>
      </c>
      <c r="AK18" s="1" t="n">
        <v>9</v>
      </c>
      <c r="AL18" s="6" t="n">
        <f aca="false">ROUND(AVERAGE(AK18,AH18,AF18,AC18,Z18,W18,C18),0)</f>
        <v>8</v>
      </c>
    </row>
    <row r="19" customFormat="false" ht="15" hidden="false" customHeight="false" outlineLevel="0" collapsed="false">
      <c r="Q19" s="1" t="n">
        <f aca="false">COUNTIF(Q3:Q18,"P")</f>
        <v>14</v>
      </c>
      <c r="R19" s="1" t="n">
        <f aca="false">COUNTIF(R3:R18,"P")</f>
        <v>13</v>
      </c>
      <c r="Y19" s="1" t="n">
        <f aca="false">COUNTIF(Y3:Y18,"P")</f>
        <v>7</v>
      </c>
      <c r="AB19" s="1" t="n">
        <f aca="false">COUNTIF(AB3:AB18,"P")</f>
        <v>14</v>
      </c>
      <c r="AE19" s="1" t="n">
        <f aca="false">COUNTIF(AE3:AE18,"P")</f>
        <v>13</v>
      </c>
      <c r="AG19" s="1" t="n">
        <f aca="false">COUNTIF(AG3:AG18,"P")</f>
        <v>13</v>
      </c>
      <c r="AJ19" s="1" t="n">
        <f aca="false">COUNTIF(AJ3:AJ18,"P")</f>
        <v>13</v>
      </c>
    </row>
  </sheetData>
  <conditionalFormatting sqref="J3:J18">
    <cfRule type="cellIs" priority="2" operator="lessThan" aboveAverage="0" equalAverage="0" bottom="0" percent="0" rank="0" text="" dxfId="6">
      <formula>7</formula>
    </cfRule>
  </conditionalFormatting>
  <conditionalFormatting sqref="K3:K18">
    <cfRule type="cellIs" priority="3" operator="equal" aboveAverage="0" equalAverage="0" bottom="0" percent="0" rank="0" text="" dxfId="6">
      <formula>"TEP"</formula>
    </cfRule>
  </conditionalFormatting>
  <conditionalFormatting sqref="U3:U18">
    <cfRule type="cellIs" priority="4" operator="greaterThan" aboveAverage="0" equalAverage="0" bottom="0" percent="0" rank="0" text="" dxfId="7">
      <formula>6</formula>
    </cfRule>
    <cfRule type="cellIs" priority="5" operator="notBetween" aboveAverage="0" equalAverage="0" bottom="0" percent="0" rank="0" text="" dxfId="8">
      <formula>4</formula>
      <formula>6</formula>
    </cfRule>
    <cfRule type="cellIs" priority="6" operator="lessThan" aboveAverage="0" equalAverage="0" bottom="0" percent="0" rank="0" text="" dxfId="9">
      <formula>4</formula>
    </cfRule>
  </conditionalFormatting>
  <conditionalFormatting sqref="AL3:AL18">
    <cfRule type="cellIs" priority="7" operator="greaterThan" aboveAverage="0" equalAverage="0" bottom="0" percent="0" rank="0" text="" dxfId="10">
      <formula>6</formula>
    </cfRule>
    <cfRule type="cellIs" priority="8" operator="between" aboveAverage="0" equalAverage="0" bottom="0" percent="0" rank="0" text="" dxfId="11">
      <formula>4</formula>
      <formula>6</formula>
    </cfRule>
    <cfRule type="cellIs" priority="9" operator="lessThan" aboveAverage="0" equalAverage="0" bottom="0" percent="0" rank="0" text="" dxfId="12">
      <formula>4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2" activeCellId="0" sqref="I2"/>
    </sheetView>
  </sheetViews>
  <sheetFormatPr defaultColWidth="9.5625" defaultRowHeight="15" zeroHeight="false" outlineLevelRow="0" outlineLevelCol="0"/>
  <cols>
    <col collapsed="false" customWidth="true" hidden="false" outlineLevel="0" max="3" min="2" style="1" width="17.57"/>
    <col collapsed="false" customWidth="true" hidden="false" outlineLevel="0" max="4" min="4" style="1" width="21.95"/>
    <col collapsed="false" customWidth="true" hidden="false" outlineLevel="0" max="5" min="5" style="1" width="20.95"/>
  </cols>
  <sheetData>
    <row r="1" customFormat="false" ht="15" hidden="false" customHeight="false" outlineLevel="0" collapsed="false">
      <c r="C1" s="1" t="s">
        <v>2</v>
      </c>
      <c r="D1" s="1" t="s">
        <v>131</v>
      </c>
      <c r="E1" s="1" t="s">
        <v>132</v>
      </c>
      <c r="F1" s="1" t="s">
        <v>133</v>
      </c>
      <c r="G1" s="1" t="s">
        <v>104</v>
      </c>
      <c r="H1" s="1" t="s">
        <v>134</v>
      </c>
      <c r="I1" s="1" t="s">
        <v>135</v>
      </c>
    </row>
    <row r="2" customFormat="false" ht="15" hidden="false" customHeight="false" outlineLevel="0" collapsed="false">
      <c r="A2" s="1" t="n">
        <v>1</v>
      </c>
      <c r="B2" s="2" t="s">
        <v>50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57</v>
      </c>
      <c r="C3" s="1" t="s">
        <v>57</v>
      </c>
      <c r="D3" s="1" t="s">
        <v>136</v>
      </c>
      <c r="E3" s="1" t="s">
        <v>137</v>
      </c>
      <c r="F3" s="1" t="n">
        <v>8</v>
      </c>
      <c r="I3" s="1" t="n">
        <v>8</v>
      </c>
    </row>
    <row r="4" customFormat="false" ht="15" hidden="false" customHeight="false" outlineLevel="0" collapsed="false">
      <c r="A4" s="1" t="n">
        <v>3</v>
      </c>
      <c r="B4" s="2" t="s">
        <v>12</v>
      </c>
      <c r="C4" s="1" t="s">
        <v>12</v>
      </c>
      <c r="D4" s="1" t="s">
        <v>138</v>
      </c>
      <c r="E4" s="1" t="s">
        <v>139</v>
      </c>
      <c r="F4" s="1" t="n">
        <v>5</v>
      </c>
      <c r="I4" s="1" t="n">
        <v>5</v>
      </c>
    </row>
    <row r="5" customFormat="false" ht="15" hidden="false" customHeight="false" outlineLevel="0" collapsed="false">
      <c r="A5" s="1" t="n">
        <v>4</v>
      </c>
      <c r="B5" s="2" t="s">
        <v>25</v>
      </c>
      <c r="C5" s="1" t="s">
        <v>25</v>
      </c>
      <c r="D5" s="1" t="s">
        <v>140</v>
      </c>
      <c r="E5" s="1" t="s">
        <v>141</v>
      </c>
      <c r="F5" s="1" t="n">
        <v>7</v>
      </c>
      <c r="I5" s="1" t="n">
        <v>7</v>
      </c>
    </row>
    <row r="6" customFormat="false" ht="15" hidden="false" customHeight="false" outlineLevel="0" collapsed="false">
      <c r="A6" s="1" t="n">
        <v>5</v>
      </c>
      <c r="B6" s="2" t="s">
        <v>29</v>
      </c>
      <c r="C6" s="1" t="s">
        <v>29</v>
      </c>
      <c r="D6" s="1" t="s">
        <v>142</v>
      </c>
      <c r="E6" s="1" t="s">
        <v>143</v>
      </c>
      <c r="F6" s="1" t="n">
        <v>7</v>
      </c>
      <c r="I6" s="1" t="n">
        <v>7</v>
      </c>
    </row>
    <row r="7" customFormat="false" ht="15" hidden="false" customHeight="false" outlineLevel="0" collapsed="false">
      <c r="A7" s="1" t="n">
        <v>6</v>
      </c>
      <c r="B7" s="2" t="s">
        <v>62</v>
      </c>
      <c r="C7" s="1" t="s">
        <v>62</v>
      </c>
      <c r="D7" s="1" t="s">
        <v>144</v>
      </c>
      <c r="E7" s="1" t="s">
        <v>145</v>
      </c>
      <c r="F7" s="1" t="n">
        <v>3</v>
      </c>
      <c r="I7" s="1" t="n">
        <v>3</v>
      </c>
    </row>
    <row r="8" customFormat="false" ht="15" hidden="false" customHeight="false" outlineLevel="0" collapsed="false">
      <c r="A8" s="1" t="n">
        <v>7</v>
      </c>
      <c r="B8" s="2" t="s">
        <v>77</v>
      </c>
      <c r="C8" s="1" t="s">
        <v>77</v>
      </c>
      <c r="D8" s="1" t="s">
        <v>146</v>
      </c>
      <c r="E8" s="1" t="s">
        <v>147</v>
      </c>
      <c r="F8" s="1" t="n">
        <v>9</v>
      </c>
      <c r="G8" s="1" t="n">
        <f aca="false">AVERAGE(F8:F9)</f>
        <v>5</v>
      </c>
      <c r="H8" s="1" t="n">
        <v>1</v>
      </c>
      <c r="I8" s="1" t="n">
        <f aca="false">MAX(G8:H8)</f>
        <v>5</v>
      </c>
    </row>
    <row r="9" customFormat="false" ht="15" hidden="false" customHeight="false" outlineLevel="0" collapsed="false">
      <c r="C9" s="1" t="s">
        <v>77</v>
      </c>
      <c r="D9" s="1" t="s">
        <v>148</v>
      </c>
      <c r="E9" s="1" t="s">
        <v>149</v>
      </c>
      <c r="F9" s="1" t="n">
        <v>1</v>
      </c>
    </row>
    <row r="10" customFormat="false" ht="15" hidden="false" customHeight="false" outlineLevel="0" collapsed="false">
      <c r="A10" s="1" t="n">
        <v>8</v>
      </c>
      <c r="B10" s="2" t="s">
        <v>36</v>
      </c>
      <c r="C10" s="1" t="s">
        <v>36</v>
      </c>
      <c r="D10" s="1" t="s">
        <v>150</v>
      </c>
      <c r="E10" s="1" t="s">
        <v>151</v>
      </c>
      <c r="F10" s="1" t="n">
        <v>2</v>
      </c>
      <c r="I10" s="1" t="n">
        <v>2</v>
      </c>
    </row>
    <row r="11" customFormat="false" ht="15" hidden="false" customHeight="false" outlineLevel="0" collapsed="false">
      <c r="A11" s="1" t="n">
        <v>9</v>
      </c>
      <c r="B11" s="2" t="s">
        <v>68</v>
      </c>
      <c r="C11" s="1" t="s">
        <v>68</v>
      </c>
      <c r="D11" s="1" t="s">
        <v>142</v>
      </c>
      <c r="E11" s="1" t="s">
        <v>152</v>
      </c>
      <c r="F11" s="1" t="n">
        <v>7</v>
      </c>
      <c r="I11" s="1" t="n">
        <v>7</v>
      </c>
    </row>
    <row r="12" customFormat="false" ht="15" hidden="false" customHeight="false" outlineLevel="0" collapsed="false">
      <c r="A12" s="1" t="n">
        <v>10</v>
      </c>
      <c r="B12" s="2" t="s">
        <v>87</v>
      </c>
      <c r="C12" s="1" t="s">
        <v>87</v>
      </c>
      <c r="D12" s="1" t="s">
        <v>153</v>
      </c>
      <c r="E12" s="1" t="s">
        <v>154</v>
      </c>
      <c r="F12" s="1" t="n">
        <v>7</v>
      </c>
      <c r="G12" s="1" t="n">
        <f aca="false">AVERAGE(F12:F13)</f>
        <v>6</v>
      </c>
      <c r="H12" s="1" t="n">
        <v>5</v>
      </c>
      <c r="I12" s="1" t="n">
        <f aca="false">MAX(G12:H12)</f>
        <v>6</v>
      </c>
    </row>
    <row r="13" customFormat="false" ht="15" hidden="false" customHeight="false" outlineLevel="0" collapsed="false">
      <c r="C13" s="1" t="s">
        <v>87</v>
      </c>
      <c r="D13" s="1" t="s">
        <v>138</v>
      </c>
      <c r="E13" s="1" t="s">
        <v>155</v>
      </c>
      <c r="F13" s="1" t="n">
        <v>5</v>
      </c>
    </row>
    <row r="14" customFormat="false" ht="15" hidden="false" customHeight="false" outlineLevel="0" collapsed="false">
      <c r="A14" s="1" t="n">
        <v>11</v>
      </c>
      <c r="B14" s="2" t="s">
        <v>73</v>
      </c>
      <c r="C14" s="1" t="s">
        <v>73</v>
      </c>
      <c r="D14" s="1" t="s">
        <v>148</v>
      </c>
      <c r="E14" s="1" t="s">
        <v>156</v>
      </c>
      <c r="F14" s="1" t="n">
        <v>1</v>
      </c>
      <c r="I14" s="1" t="n">
        <v>1</v>
      </c>
    </row>
    <row r="15" customFormat="false" ht="15" hidden="false" customHeight="false" outlineLevel="0" collapsed="false">
      <c r="A15" s="1" t="n">
        <v>12</v>
      </c>
      <c r="B15" s="2" t="s">
        <v>92</v>
      </c>
      <c r="C15" s="1" t="s">
        <v>92</v>
      </c>
      <c r="D15" s="1" t="s">
        <v>157</v>
      </c>
      <c r="E15" s="1" t="s">
        <v>158</v>
      </c>
      <c r="F15" s="1" t="n">
        <v>2</v>
      </c>
      <c r="I15" s="1" t="n">
        <v>2</v>
      </c>
    </row>
    <row r="16" customFormat="false" ht="15" hidden="false" customHeight="false" outlineLevel="0" collapsed="false">
      <c r="A16" s="1" t="n">
        <v>13</v>
      </c>
      <c r="B16" s="2" t="s">
        <v>96</v>
      </c>
      <c r="C16" s="1" t="s">
        <v>96</v>
      </c>
      <c r="D16" s="1" t="s">
        <v>148</v>
      </c>
      <c r="E16" s="1" t="s">
        <v>159</v>
      </c>
      <c r="F16" s="1" t="n">
        <v>6</v>
      </c>
      <c r="I16" s="1" t="n">
        <v>6</v>
      </c>
    </row>
    <row r="17" customFormat="false" ht="15" hidden="false" customHeight="false" outlineLevel="0" collapsed="false">
      <c r="A17" s="1" t="n">
        <v>14</v>
      </c>
      <c r="B17" s="2" t="s">
        <v>42</v>
      </c>
      <c r="C17" s="1" t="s">
        <v>42</v>
      </c>
      <c r="D17" s="1" t="s">
        <v>160</v>
      </c>
      <c r="E17" s="1" t="s">
        <v>160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15</v>
      </c>
      <c r="B18" s="2" t="s">
        <v>47</v>
      </c>
      <c r="F18" s="1" t="n">
        <v>1</v>
      </c>
      <c r="I18" s="1" t="n">
        <v>1</v>
      </c>
    </row>
    <row r="19" customFormat="false" ht="15" hidden="false" customHeight="false" outlineLevel="0" collapsed="false">
      <c r="A19" s="1" t="n">
        <v>16</v>
      </c>
      <c r="B19" s="2" t="s">
        <v>32</v>
      </c>
      <c r="C19" s="1" t="s">
        <v>32</v>
      </c>
      <c r="D19" s="1" t="s">
        <v>161</v>
      </c>
      <c r="E19" s="1" t="s">
        <v>162</v>
      </c>
      <c r="F19" s="1" t="n">
        <v>7</v>
      </c>
      <c r="I19" s="1" t="n">
        <v>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1" activeCellId="0" sqref="F11"/>
    </sheetView>
  </sheetViews>
  <sheetFormatPr defaultColWidth="9.5625" defaultRowHeight="15" zeroHeight="false" outlineLevelRow="0" outlineLevelCol="0"/>
  <cols>
    <col collapsed="false" customWidth="true" hidden="false" outlineLevel="0" max="2" min="2" style="1" width="17.57"/>
  </cols>
  <sheetData>
    <row r="1" customFormat="false" ht="15" hidden="false" customHeight="false" outlineLevel="0" collapsed="false">
      <c r="A1" s="1" t="s">
        <v>0</v>
      </c>
      <c r="B1" s="2" t="s">
        <v>2</v>
      </c>
      <c r="C1" s="3" t="n">
        <v>45737</v>
      </c>
      <c r="D1" s="3" t="n">
        <v>45751</v>
      </c>
      <c r="E1" s="1" t="s">
        <v>102</v>
      </c>
      <c r="F1" s="1" t="s">
        <v>163</v>
      </c>
    </row>
    <row r="2" customFormat="false" ht="15" hidden="false" customHeight="false" outlineLevel="0" collapsed="false">
      <c r="A2" s="1" t="n">
        <v>1</v>
      </c>
      <c r="B2" s="2" t="s">
        <v>50</v>
      </c>
      <c r="E2" s="1" t="n">
        <f aca="false">C2+D2</f>
        <v>0</v>
      </c>
      <c r="F2" s="1" t="n">
        <v>10</v>
      </c>
    </row>
    <row r="3" customFormat="false" ht="15" hidden="false" customHeight="false" outlineLevel="0" collapsed="false">
      <c r="A3" s="1" t="n">
        <v>2</v>
      </c>
      <c r="B3" s="2" t="s">
        <v>57</v>
      </c>
      <c r="E3" s="1" t="n">
        <f aca="false">C3+D3</f>
        <v>0</v>
      </c>
      <c r="F3" s="1" t="n">
        <v>10</v>
      </c>
    </row>
    <row r="4" customFormat="false" ht="15" hidden="false" customHeight="false" outlineLevel="0" collapsed="false">
      <c r="A4" s="1" t="n">
        <v>3</v>
      </c>
      <c r="B4" s="2" t="s">
        <v>12</v>
      </c>
      <c r="C4" s="1" t="n">
        <v>2</v>
      </c>
      <c r="E4" s="1" t="n">
        <f aca="false">C4+D4</f>
        <v>2</v>
      </c>
    </row>
    <row r="5" customFormat="false" ht="15" hidden="false" customHeight="false" outlineLevel="0" collapsed="false">
      <c r="A5" s="1" t="n">
        <v>4</v>
      </c>
      <c r="B5" s="2" t="s">
        <v>25</v>
      </c>
      <c r="E5" s="1" t="n">
        <f aca="false">C5+D5</f>
        <v>0</v>
      </c>
    </row>
    <row r="6" customFormat="false" ht="15" hidden="false" customHeight="false" outlineLevel="0" collapsed="false">
      <c r="A6" s="1" t="n">
        <v>5</v>
      </c>
      <c r="B6" s="2" t="s">
        <v>29</v>
      </c>
      <c r="E6" s="1" t="n">
        <f aca="false">C6+D6</f>
        <v>0</v>
      </c>
    </row>
    <row r="7" customFormat="false" ht="15" hidden="false" customHeight="false" outlineLevel="0" collapsed="false">
      <c r="A7" s="1" t="n">
        <v>6</v>
      </c>
      <c r="B7" s="2" t="s">
        <v>62</v>
      </c>
      <c r="E7" s="1" t="n">
        <f aca="false">C7+D7</f>
        <v>0</v>
      </c>
      <c r="F7" s="1" t="n">
        <v>10</v>
      </c>
    </row>
    <row r="8" customFormat="false" ht="15" hidden="false" customHeight="false" outlineLevel="0" collapsed="false">
      <c r="A8" s="1" t="n">
        <v>7</v>
      </c>
      <c r="B8" s="2" t="s">
        <v>77</v>
      </c>
      <c r="E8" s="1" t="n">
        <f aca="false">C8+D8</f>
        <v>0</v>
      </c>
    </row>
    <row r="9" customFormat="false" ht="15" hidden="false" customHeight="false" outlineLevel="0" collapsed="false">
      <c r="A9" s="1" t="n">
        <v>8</v>
      </c>
      <c r="B9" s="2" t="s">
        <v>36</v>
      </c>
      <c r="E9" s="1" t="n">
        <f aca="false">C9+D9</f>
        <v>0</v>
      </c>
      <c r="F9" s="1" t="n">
        <v>10</v>
      </c>
    </row>
    <row r="10" customFormat="false" ht="15" hidden="false" customHeight="false" outlineLevel="0" collapsed="false">
      <c r="A10" s="1" t="n">
        <v>9</v>
      </c>
      <c r="B10" s="2" t="s">
        <v>68</v>
      </c>
      <c r="E10" s="1" t="n">
        <f aca="false">C10+D10</f>
        <v>0</v>
      </c>
      <c r="F10" s="1" t="n">
        <v>10</v>
      </c>
    </row>
    <row r="11" customFormat="false" ht="15" hidden="false" customHeight="false" outlineLevel="0" collapsed="false">
      <c r="A11" s="1" t="n">
        <v>10</v>
      </c>
      <c r="B11" s="2" t="s">
        <v>87</v>
      </c>
      <c r="E11" s="1" t="n">
        <f aca="false">C11+D11</f>
        <v>0</v>
      </c>
    </row>
    <row r="12" customFormat="false" ht="15" hidden="false" customHeight="false" outlineLevel="0" collapsed="false">
      <c r="A12" s="1" t="n">
        <v>11</v>
      </c>
      <c r="B12" s="2" t="s">
        <v>73</v>
      </c>
      <c r="E12" s="1" t="n">
        <f aca="false">C12+D12</f>
        <v>0</v>
      </c>
    </row>
    <row r="13" customFormat="false" ht="15" hidden="false" customHeight="false" outlineLevel="0" collapsed="false">
      <c r="A13" s="1" t="n">
        <v>12</v>
      </c>
      <c r="B13" s="2" t="s">
        <v>92</v>
      </c>
      <c r="E13" s="1" t="n">
        <f aca="false">C13+D13</f>
        <v>0</v>
      </c>
    </row>
    <row r="14" customFormat="false" ht="15" hidden="false" customHeight="false" outlineLevel="0" collapsed="false">
      <c r="A14" s="1" t="n">
        <v>13</v>
      </c>
      <c r="B14" s="2" t="s">
        <v>96</v>
      </c>
      <c r="C14" s="1" t="n">
        <v>1</v>
      </c>
      <c r="D14" s="1" t="n">
        <v>1</v>
      </c>
      <c r="E14" s="1" t="n">
        <f aca="false">C14+D14</f>
        <v>2</v>
      </c>
    </row>
    <row r="15" customFormat="false" ht="15" hidden="false" customHeight="false" outlineLevel="0" collapsed="false">
      <c r="A15" s="1" t="n">
        <v>14</v>
      </c>
      <c r="B15" s="2" t="s">
        <v>42</v>
      </c>
      <c r="E15" s="1" t="n">
        <f aca="false">C15+D15</f>
        <v>0</v>
      </c>
    </row>
    <row r="16" customFormat="false" ht="15" hidden="false" customHeight="false" outlineLevel="0" collapsed="false">
      <c r="A16" s="1" t="n">
        <v>15</v>
      </c>
      <c r="B16" s="2" t="s">
        <v>47</v>
      </c>
      <c r="E16" s="1" t="n">
        <f aca="false">C16+D16</f>
        <v>0</v>
      </c>
    </row>
    <row r="17" customFormat="false" ht="15" hidden="false" customHeight="false" outlineLevel="0" collapsed="false">
      <c r="A17" s="1" t="n">
        <v>16</v>
      </c>
      <c r="B17" s="2" t="s">
        <v>32</v>
      </c>
      <c r="E17" s="1" t="n">
        <f aca="false">C17+D17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2025-05-05T16:11:10Z</dcterms:created>
  <dc:creator/>
  <dc:description/>
  <dc:language>es-AR</dc:language>
  <cp:lastModifiedBy/>
  <dcterms:modified xsi:type="dcterms:W3CDTF">2025-11-26T17:04:33Z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