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istencia" sheetId="1" state="visible" r:id="rId3"/>
    <sheet name="nota" sheetId="2" state="visible" r:id="rId4"/>
    <sheet name="positivos" sheetId="3" state="visible" r:id="rId5"/>
    <sheet name="a-Evaluacion" sheetId="4" state="visible" r:id="rId6"/>
    <sheet name="1-Gananicia con feedback" sheetId="5" state="visible" r:id="rId7"/>
    <sheet name="2-impEnt" sheetId="6" state="visible" r:id="rId8"/>
    <sheet name="3-impSal" sheetId="7" state="visible" r:id="rId9"/>
    <sheet name="Recup 2" sheetId="8" state="visible" r:id="rId10"/>
    <sheet name="Recup 3" sheetId="9" state="visible" r:id="rId11"/>
    <sheet name="4-fuente Swi" sheetId="10" state="visible" r:id="rId12"/>
    <sheet name="5-inversor" sheetId="11" state="visible" r:id="rId13"/>
    <sheet name="Evaluacion" sheetId="12" state="visible" r:id="rId14"/>
    <sheet name="6-2c-Recup" sheetId="13" state="visible" r:id="rId1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<sst xmlns="http://schemas.openxmlformats.org/spreadsheetml/2006/main" count="1683" uniqueCount="353">
  <si>
    <t xml:space="preserve">totales</t>
  </si>
  <si>
    <t xml:space="preserve">obs</t>
  </si>
  <si>
    <t xml:space="preserve">total</t>
  </si>
  <si>
    <t xml:space="preserve">nRO</t>
  </si>
  <si>
    <t xml:space="preserve">Nombre</t>
  </si>
  <si>
    <t xml:space="preserve">Apellido(s)</t>
  </si>
  <si>
    <t xml:space="preserve">Dirección de correo</t>
  </si>
  <si>
    <t xml:space="preserve">presentes</t>
  </si>
  <si>
    <t xml:space="preserve">media</t>
  </si>
  <si>
    <t xml:space="preserve">tarde</t>
  </si>
  <si>
    <t xml:space="preserve">presentes tota</t>
  </si>
  <si>
    <t xml:space="preserve">nota</t>
  </si>
  <si>
    <t xml:space="preserve">ausente</t>
  </si>
  <si>
    <t xml:space="preserve">Asistencia</t>
  </si>
  <si>
    <t xml:space="preserve">m</t>
  </si>
  <si>
    <t xml:space="preserve">x</t>
  </si>
  <si>
    <t xml:space="preserve">Lautaro Agustin</t>
  </si>
  <si>
    <t xml:space="preserve">Agasi</t>
  </si>
  <si>
    <t xml:space="preserve">lautyagasi808@gmail.com</t>
  </si>
  <si>
    <t xml:space="preserve">P</t>
  </si>
  <si>
    <t xml:space="preserve">A</t>
  </si>
  <si>
    <t xml:space="preserve">T</t>
  </si>
  <si>
    <t xml:space="preserve">Thaiel Omar</t>
  </si>
  <si>
    <t xml:space="preserve">ANGELES</t>
  </si>
  <si>
    <t xml:space="preserve">thaielomar44@gmail.com</t>
  </si>
  <si>
    <t xml:space="preserve">Franco Tomas</t>
  </si>
  <si>
    <t xml:space="preserve">BARRERA</t>
  </si>
  <si>
    <t xml:space="preserve">48373431@gmail.com</t>
  </si>
  <si>
    <t xml:space="preserve">Ensayo</t>
  </si>
  <si>
    <t xml:space="preserve">Julian Gabriel</t>
  </si>
  <si>
    <t xml:space="preserve">BATTAGLIA</t>
  </si>
  <si>
    <t xml:space="preserve">48702442@gmail.com</t>
  </si>
  <si>
    <t xml:space="preserve">M</t>
  </si>
  <si>
    <t xml:space="preserve">Tarde 14:14</t>
  </si>
  <si>
    <t xml:space="preserve">Rodrigo Jesus</t>
  </si>
  <si>
    <t xml:space="preserve">Bernal</t>
  </si>
  <si>
    <t xml:space="preserve">rodribernalel10@gmail.com</t>
  </si>
  <si>
    <t xml:space="preserve">operado </t>
  </si>
  <si>
    <t xml:space="preserve">Yoel Santiago</t>
  </si>
  <si>
    <t xml:space="preserve">Caballero</t>
  </si>
  <si>
    <t xml:space="preserve">yoecaballero@hotmail.com</t>
  </si>
  <si>
    <t xml:space="preserve">Tarde 14:10</t>
  </si>
  <si>
    <t xml:space="preserve">Hector Hernan</t>
  </si>
  <si>
    <t xml:space="preserve">CANCLINI</t>
  </si>
  <si>
    <t xml:space="preserve">canclinihector@gmail.com</t>
  </si>
  <si>
    <t xml:space="preserve">Martin Ezequiel</t>
  </si>
  <si>
    <t xml:space="preserve">Celestino</t>
  </si>
  <si>
    <t xml:space="preserve">martin.ezequiel.celestino@gmail.com</t>
  </si>
  <si>
    <t xml:space="preserve">Benjamin Matias</t>
  </si>
  <si>
    <t xml:space="preserve">CORNEJO</t>
  </si>
  <si>
    <t xml:space="preserve">benjamatias007@gmail.com</t>
  </si>
  <si>
    <t xml:space="preserve">Lucio</t>
  </si>
  <si>
    <t xml:space="preserve">DEL MASTRO</t>
  </si>
  <si>
    <t xml:space="preserve">47514980@gmail.com</t>
  </si>
  <si>
    <t xml:space="preserve">Tobias Nicolas</t>
  </si>
  <si>
    <t xml:space="preserve">DIAZ</t>
  </si>
  <si>
    <t xml:space="preserve">tobiasdiaz2008@gmail.com</t>
  </si>
  <si>
    <t xml:space="preserve">Valentino Eduardo Javier</t>
  </si>
  <si>
    <t xml:space="preserve">FERNANDEZ</t>
  </si>
  <si>
    <t xml:space="preserve">valentinoel12@gmail.com</t>
  </si>
  <si>
    <t xml:space="preserve">Ariadna Uma</t>
  </si>
  <si>
    <t xml:space="preserve">FERRARI RUBINI</t>
  </si>
  <si>
    <t xml:space="preserve">48241663@gmail.com</t>
  </si>
  <si>
    <t xml:space="preserve">German Francisco</t>
  </si>
  <si>
    <t xml:space="preserve">GIRALDES MIRAVAL</t>
  </si>
  <si>
    <t xml:space="preserve">47866914@gmail.com</t>
  </si>
  <si>
    <t xml:space="preserve">Julian uziel</t>
  </si>
  <si>
    <t xml:space="preserve">GONZALEZ</t>
  </si>
  <si>
    <t xml:space="preserve">48847759@gmail.com</t>
  </si>
  <si>
    <t xml:space="preserve">VALENTIN</t>
  </si>
  <si>
    <t xml:space="preserve">GUERRA</t>
  </si>
  <si>
    <t xml:space="preserve">valengamer07@outlook.com</t>
  </si>
  <si>
    <t xml:space="preserve">Joaquín</t>
  </si>
  <si>
    <t xml:space="preserve">HERRERA</t>
  </si>
  <si>
    <t xml:space="preserve">joaquinsimonherrera@gmail.com</t>
  </si>
  <si>
    <t xml:space="preserve">Lucas Sebastian</t>
  </si>
  <si>
    <t xml:space="preserve">Muñoz</t>
  </si>
  <si>
    <t xml:space="preserve">47171973@gmail.com</t>
  </si>
  <si>
    <t xml:space="preserve">Thomas Adrián</t>
  </si>
  <si>
    <t xml:space="preserve">Peter</t>
  </si>
  <si>
    <t xml:space="preserve">thominahi@gmail.com</t>
  </si>
  <si>
    <t xml:space="preserve">enfermedad</t>
  </si>
  <si>
    <t xml:space="preserve">correccion</t>
  </si>
  <si>
    <t xml:space="preserve">Carlos Miguel</t>
  </si>
  <si>
    <t xml:space="preserve">Rivero Montesino</t>
  </si>
  <si>
    <t xml:space="preserve">carlomontes06@gmail.com</t>
  </si>
  <si>
    <t xml:space="preserve">Ignacio</t>
  </si>
  <si>
    <t xml:space="preserve">Rojas</t>
  </si>
  <si>
    <t xml:space="preserve">nachoenzorojas@gmail.com</t>
  </si>
  <si>
    <t xml:space="preserve">Franco Emanuel</t>
  </si>
  <si>
    <t xml:space="preserve">SALINA</t>
  </si>
  <si>
    <t xml:space="preserve">francopuma2000@gmail.com</t>
  </si>
  <si>
    <t xml:space="preserve">Maia Zoel</t>
  </si>
  <si>
    <t xml:space="preserve">SOSA ARCE</t>
  </si>
  <si>
    <t xml:space="preserve">48110972@gmail.com</t>
  </si>
  <si>
    <t xml:space="preserve">Carlos Leonel</t>
  </si>
  <si>
    <t xml:space="preserve">TRINIDAD SANABRIA</t>
  </si>
  <si>
    <t xml:space="preserve">48183416@gmail.com</t>
  </si>
  <si>
    <t xml:space="preserve">Santiago Osmar</t>
  </si>
  <si>
    <t xml:space="preserve">VEGA</t>
  </si>
  <si>
    <t xml:space="preserve">megustaelpene@gmail.com</t>
  </si>
  <si>
    <t xml:space="preserve">Luciano Emanuel</t>
  </si>
  <si>
    <t xml:space="preserve">Velásquez</t>
  </si>
  <si>
    <t xml:space="preserve">lucianovel31@gmail.com</t>
  </si>
  <si>
    <t xml:space="preserve">presente</t>
  </si>
  <si>
    <t xml:space="preserve">media falta</t>
  </si>
  <si>
    <t xml:space="preserve">Tarde</t>
  </si>
  <si>
    <t xml:space="preserve">1er + 2do cuat</t>
  </si>
  <si>
    <t xml:space="preserve">Diciembre</t>
  </si>
  <si>
    <t xml:space="preserve">1er cua</t>
  </si>
  <si>
    <t xml:space="preserve">2do cua</t>
  </si>
  <si>
    <t xml:space="preserve">Febrero</t>
  </si>
  <si>
    <t xml:space="preserve">Nro</t>
  </si>
  <si>
    <t xml:space="preserve">1-ganancia</t>
  </si>
  <si>
    <t xml:space="preserve">Recup 1</t>
  </si>
  <si>
    <t xml:space="preserve">2-imp de entrada</t>
  </si>
  <si>
    <t xml:space="preserve">Recup 2</t>
  </si>
  <si>
    <t xml:space="preserve">3- imp de sal</t>
  </si>
  <si>
    <t xml:space="preserve">Recup 3</t>
  </si>
  <si>
    <t xml:space="preserve">positivos</t>
  </si>
  <si>
    <t xml:space="preserve">Nota 3 mas positivos</t>
  </si>
  <si>
    <t xml:space="preserve">premiados</t>
  </si>
  <si>
    <t xml:space="preserve">promedios</t>
  </si>
  <si>
    <t xml:space="preserve">Valoracion peda</t>
  </si>
  <si>
    <t xml:space="preserve">4-fuen</t>
  </si>
  <si>
    <t xml:space="preserve">Recup</t>
  </si>
  <si>
    <t xml:space="preserve">5-inversor-</t>
  </si>
  <si>
    <t xml:space="preserve">evaluacion</t>
  </si>
  <si>
    <t xml:space="preserve">asistencia</t>
  </si>
  <si>
    <t xml:space="preserve">asis+positi</t>
  </si>
  <si>
    <t xml:space="preserve">promedio</t>
  </si>
  <si>
    <t xml:space="preserve">promedio muñoz</t>
  </si>
  <si>
    <t xml:space="preserve">Carpeta</t>
  </si>
  <si>
    <t xml:space="preserve">6-comparador</t>
  </si>
  <si>
    <t xml:space="preserve">circuito andando</t>
  </si>
  <si>
    <t xml:space="preserve">Grupo</t>
  </si>
  <si>
    <t xml:space="preserve">7-puente de Wien</t>
  </si>
  <si>
    <t xml:space="preserve">asis+pos</t>
  </si>
  <si>
    <t xml:space="preserve">Evaluacion</t>
  </si>
  <si>
    <t xml:space="preserve">8-puente de Wien</t>
  </si>
  <si>
    <t xml:space="preserve">9-tx-arinc</t>
  </si>
  <si>
    <t xml:space="preserve">10-localiz</t>
  </si>
  <si>
    <t xml:space="preserve">11- radar plato giratorio</t>
  </si>
  <si>
    <t xml:space="preserve">12- calculo alcance</t>
  </si>
  <si>
    <t xml:space="preserve">final</t>
  </si>
  <si>
    <t xml:space="preserve">nota Dic</t>
  </si>
  <si>
    <t xml:space="preserve">G 4</t>
  </si>
  <si>
    <t xml:space="preserve">sin entrega</t>
  </si>
  <si>
    <t xml:space="preserve">noviembre</t>
  </si>
  <si>
    <t xml:space="preserve">falta simulacion</t>
  </si>
  <si>
    <t xml:space="preserve">G 2</t>
  </si>
  <si>
    <t xml:space="preserve">esta mal la ganancia y falta link con ism</t>
  </si>
  <si>
    <t xml:space="preserve">Aprobado</t>
  </si>
  <si>
    <t xml:space="preserve">G 5</t>
  </si>
  <si>
    <t xml:space="preserve">corregido</t>
  </si>
  <si>
    <t xml:space="preserve">falta circuito</t>
  </si>
  <si>
    <t xml:space="preserve">faltan las R2, R4, los capacitores y simulacion</t>
  </si>
  <si>
    <t xml:space="preserve">G 2 </t>
  </si>
  <si>
    <t xml:space="preserve">Ausente</t>
  </si>
  <si>
    <t xml:space="preserve">no funciona</t>
  </si>
  <si>
    <t xml:space="preserve">hasta no ver simulacion</t>
  </si>
  <si>
    <t xml:space="preserve">no tiene ldr</t>
  </si>
  <si>
    <t xml:space="preserve">bien </t>
  </si>
  <si>
    <t xml:space="preserve">G 1</t>
  </si>
  <si>
    <t xml:space="preserve">G 3</t>
  </si>
  <si>
    <t xml:space="preserve">faltan los valores de las resistencias y las simulaciones</t>
  </si>
  <si>
    <t xml:space="preserve">con simulacion en proteus</t>
  </si>
  <si>
    <t xml:space="preserve">por entregarlo en tiempo y forma pero falta simulacion</t>
  </si>
  <si>
    <t xml:space="preserve">circuito no funciona</t>
  </si>
  <si>
    <t xml:space="preserve">falta ldr</t>
  </si>
  <si>
    <t xml:space="preserve">G2</t>
  </si>
  <si>
    <t xml:space="preserve">Gonzalez</t>
  </si>
  <si>
    <t xml:space="preserve">G4</t>
  </si>
  <si>
    <t xml:space="preserve">no tiene nada hecho</t>
  </si>
  <si>
    <t xml:space="preserve">con R3 y R4 y simulacion</t>
  </si>
  <si>
    <t xml:space="preserve">01/10/2025, correccion</t>
  </si>
  <si>
    <t xml:space="preserve">presentar carpeta</t>
  </si>
  <si>
    <t xml:space="preserve">falta R3, R4 y la simulacion</t>
  </si>
  <si>
    <t xml:space="preserve">esta solo par a400 hz y falta simul</t>
  </si>
  <si>
    <t xml:space="preserve">por fuera de termino</t>
  </si>
  <si>
    <t xml:space="preserve">buscar a wasd</t>
  </si>
  <si>
    <t xml:space="preserve">falta la simulacion</t>
  </si>
  <si>
    <t xml:space="preserve">correcciones</t>
  </si>
  <si>
    <t xml:space="preserve">total corregido</t>
  </si>
  <si>
    <t xml:space="preserve">positivos intercambiables</t>
  </si>
  <si>
    <t xml:space="preserve">Expo-ciata</t>
  </si>
  <si>
    <t xml:space="preserve">Electronica</t>
  </si>
  <si>
    <t xml:space="preserve">sistema de control virtua</t>
  </si>
  <si>
    <t xml:space="preserve">Instrumendal</t>
  </si>
  <si>
    <t xml:space="preserve">6-comp</t>
  </si>
  <si>
    <t xml:space="preserve">7- puente Wien 1</t>
  </si>
  <si>
    <t xml:space="preserve">8- puente Wien 2</t>
  </si>
  <si>
    <t xml:space="preserve">9-tx arinc</t>
  </si>
  <si>
    <t xml:space="preserve">10- Rx loc</t>
  </si>
  <si>
    <t xml:space="preserve">11-radar plato</t>
  </si>
  <si>
    <t xml:space="preserve">12-alcance y conmut</t>
  </si>
  <si>
    <t xml:space="preserve">Tiempo requerido</t>
  </si>
  <si>
    <t xml:space="preserve">Calificación/10,00</t>
  </si>
  <si>
    <t xml:space="preserve">segunda </t>
  </si>
  <si>
    <t xml:space="preserve">7 minutos</t>
  </si>
  <si>
    <t xml:space="preserve">9 minutos 59 segundos</t>
  </si>
  <si>
    <t xml:space="preserve">6 minutos 23 segundos</t>
  </si>
  <si>
    <t xml:space="preserve">7 minutos 11 segundos</t>
  </si>
  <si>
    <t xml:space="preserve">6 minutos 35 segundos</t>
  </si>
  <si>
    <t xml:space="preserve">4 minutos 14 segundos</t>
  </si>
  <si>
    <t xml:space="preserve">8 minutos 22 segundos</t>
  </si>
  <si>
    <t xml:space="preserve">8 minutos 50 segundos</t>
  </si>
  <si>
    <t xml:space="preserve">9 minutos 46 segundos</t>
  </si>
  <si>
    <t xml:space="preserve">7 minutos 44 segundos</t>
  </si>
  <si>
    <t xml:space="preserve">9 minutos 26 segundos</t>
  </si>
  <si>
    <t xml:space="preserve">8 minutos</t>
  </si>
  <si>
    <t xml:space="preserve">8 minutos 41 segundos</t>
  </si>
  <si>
    <t xml:space="preserve">4 minutos 53 segundos</t>
  </si>
  <si>
    <t xml:space="preserve">5 minutos 43 segundos</t>
  </si>
  <si>
    <t xml:space="preserve">3 minutos 36 segundos</t>
  </si>
  <si>
    <t xml:space="preserve">10 minutos</t>
  </si>
  <si>
    <t xml:space="preserve">6 minutos 24 segundos</t>
  </si>
  <si>
    <t xml:space="preserve">7 minutos 40 segundos</t>
  </si>
  <si>
    <t xml:space="preserve">10 minutos 1 segundos</t>
  </si>
  <si>
    <t xml:space="preserve">6 minutos 12 segundos</t>
  </si>
  <si>
    <t xml:space="preserve">8 minutos 36 segundos</t>
  </si>
  <si>
    <t xml:space="preserve">3 minutos 57 segundos</t>
  </si>
  <si>
    <t xml:space="preserve">1 hora 31 minutos</t>
  </si>
  <si>
    <t xml:space="preserve">8 minutos 25 segundos</t>
  </si>
  <si>
    <t xml:space="preserve">5 minutos 7 segundos</t>
  </si>
  <si>
    <t xml:space="preserve">5 minutos 23 segundos</t>
  </si>
  <si>
    <t xml:space="preserve">5 minutos 27 segundos</t>
  </si>
  <si>
    <t xml:space="preserve">8 minutos 30 segundos</t>
  </si>
  <si>
    <t xml:space="preserve">7 minutos 3 segundos</t>
  </si>
  <si>
    <t xml:space="preserve">5 minutos 17 segundos</t>
  </si>
  <si>
    <t xml:space="preserve">5 minutos 38 segundos</t>
  </si>
  <si>
    <t xml:space="preserve">5 minutos 55 segundos</t>
  </si>
  <si>
    <t xml:space="preserve">4 minutos 2 segundos</t>
  </si>
  <si>
    <t xml:space="preserve">4 minutos 40 segundos</t>
  </si>
  <si>
    <t xml:space="preserve">6 minutos 56 segundos</t>
  </si>
  <si>
    <t xml:space="preserve">5 minutos 44 segundos</t>
  </si>
  <si>
    <t xml:space="preserve">9 minutos 49 segundos</t>
  </si>
  <si>
    <t xml:space="preserve">7 minutos 24 segundos</t>
  </si>
  <si>
    <t xml:space="preserve">5 minutos 46 segundos</t>
  </si>
  <si>
    <t xml:space="preserve">7 minutos 46 segundos</t>
  </si>
  <si>
    <t xml:space="preserve">7 minutos 32 segundos</t>
  </si>
  <si>
    <t xml:space="preserve">6 minutos 53 segundos</t>
  </si>
  <si>
    <t xml:space="preserve">6 minutos 21 segundos</t>
  </si>
  <si>
    <t xml:space="preserve">6 minutos 43 segundos</t>
  </si>
  <si>
    <t xml:space="preserve">4 minutos 8 segundos</t>
  </si>
  <si>
    <t xml:space="preserve">7 minutos 8 segundos</t>
  </si>
  <si>
    <t xml:space="preserve">5 minutos 34 segundos</t>
  </si>
  <si>
    <t xml:space="preserve">4 minutos 37 segundos</t>
  </si>
  <si>
    <t xml:space="preserve">6 minutos 6 segundos</t>
  </si>
  <si>
    <t xml:space="preserve">7 minutos 49 segundos</t>
  </si>
  <si>
    <t xml:space="preserve">4 minutos 9 segundos</t>
  </si>
  <si>
    <t xml:space="preserve">6 minutos 36 segundos</t>
  </si>
  <si>
    <t xml:space="preserve">7 minutos 15 segundos</t>
  </si>
  <si>
    <t xml:space="preserve">9 minutos 9 segundos</t>
  </si>
  <si>
    <t xml:space="preserve">8 minutos 29 segundos</t>
  </si>
  <si>
    <t xml:space="preserve">7 minutos 12 segundos</t>
  </si>
  <si>
    <t xml:space="preserve">3 minutos 21 segundos</t>
  </si>
  <si>
    <t xml:space="preserve">9 minutos 1 segundos</t>
  </si>
  <si>
    <t xml:space="preserve">7 minutos 13 segundos</t>
  </si>
  <si>
    <t xml:space="preserve">8 minutos 34 segundos</t>
  </si>
  <si>
    <t xml:space="preserve">9 minutos 12 segundos</t>
  </si>
  <si>
    <t xml:space="preserve">59 segundos</t>
  </si>
  <si>
    <t xml:space="preserve">8 minutos 21 segundos</t>
  </si>
  <si>
    <t xml:space="preserve">9 minutos 30 segundos</t>
  </si>
  <si>
    <t xml:space="preserve">6 minutos 55 segundos</t>
  </si>
  <si>
    <t xml:space="preserve">7 minutos 21 segundos</t>
  </si>
  <si>
    <t xml:space="preserve">8 minutos 9 segundos</t>
  </si>
  <si>
    <t xml:space="preserve">8 minutos 32 segundos</t>
  </si>
  <si>
    <t xml:space="preserve">8 minutos 3 segundos</t>
  </si>
  <si>
    <t xml:space="preserve">6 minutos 54 segundos</t>
  </si>
  <si>
    <t xml:space="preserve">8 minutos 17 segundos</t>
  </si>
  <si>
    <t xml:space="preserve">6 minutos 50 segundos</t>
  </si>
  <si>
    <t xml:space="preserve">7 minutos 47 segundos</t>
  </si>
  <si>
    <t xml:space="preserve">8 minutos 6 segundos</t>
  </si>
  <si>
    <t xml:space="preserve">4 minutos 47 segundos</t>
  </si>
  <si>
    <t xml:space="preserve">5 minutos 58 segundos</t>
  </si>
  <si>
    <t xml:space="preserve">8 minutos 53 segundos</t>
  </si>
  <si>
    <t xml:space="preserve">9 minutos 17 segundos</t>
  </si>
  <si>
    <t xml:space="preserve">9 minutos 37 segundos</t>
  </si>
  <si>
    <t xml:space="preserve">8 minutos 55 segundos</t>
  </si>
  <si>
    <t xml:space="preserve">8 minutos 26 segundos</t>
  </si>
  <si>
    <t xml:space="preserve">7 minutos 57 segundos</t>
  </si>
  <si>
    <t xml:space="preserve">5 minutos 29 segundos</t>
  </si>
  <si>
    <t xml:space="preserve">7 minutos 35 segundos</t>
  </si>
  <si>
    <t xml:space="preserve">6 minutos 38 segundos</t>
  </si>
  <si>
    <t xml:space="preserve">Finalizado</t>
  </si>
  <si>
    <t xml:space="preserve">7 de mayo de 2025  22:39</t>
  </si>
  <si>
    <t xml:space="preserve">1 minutos 6 segundos</t>
  </si>
  <si>
    <t xml:space="preserve">7 de mayo de 2025  20:07</t>
  </si>
  <si>
    <t xml:space="preserve">3 minutos 50 segundos</t>
  </si>
  <si>
    <t xml:space="preserve">7 de mayo de 2025  20:03</t>
  </si>
  <si>
    <t xml:space="preserve">3 minutos 58 segundos</t>
  </si>
  <si>
    <t xml:space="preserve">7 de mayo de 2025  19:39</t>
  </si>
  <si>
    <t xml:space="preserve">7 de mayo de 2025  15:34</t>
  </si>
  <si>
    <t xml:space="preserve">7 de mayo de 2025  19:48</t>
  </si>
  <si>
    <t xml:space="preserve">6 minutos 10 segundos</t>
  </si>
  <si>
    <t xml:space="preserve">7 de mayo de 2025  23:05</t>
  </si>
  <si>
    <t xml:space="preserve">8 minutos 1 segundos</t>
  </si>
  <si>
    <t xml:space="preserve">7 de mayo de 2025  20:02</t>
  </si>
  <si>
    <t xml:space="preserve">6 minutos 9 segundos</t>
  </si>
  <si>
    <t xml:space="preserve">4 minutos 15 segundos</t>
  </si>
  <si>
    <t xml:space="preserve">7 de mayo de 2025  19:56</t>
  </si>
  <si>
    <t xml:space="preserve">2 minutos 10 segundos</t>
  </si>
  <si>
    <t xml:space="preserve">7 de mayo de 2025  22:41</t>
  </si>
  <si>
    <t xml:space="preserve">40 segundos</t>
  </si>
  <si>
    <t xml:space="preserve">7 de mayo de 2025  20:26</t>
  </si>
  <si>
    <t xml:space="preserve">7 de mayo de 2025  20:16</t>
  </si>
  <si>
    <t xml:space="preserve">7 minutos 4 segundos</t>
  </si>
  <si>
    <t xml:space="preserve">7 de mayo de 2025  15:45</t>
  </si>
  <si>
    <t xml:space="preserve">7 de mayo de 2025  15:39</t>
  </si>
  <si>
    <t xml:space="preserve">5 minutos 11 segundos</t>
  </si>
  <si>
    <t xml:space="preserve">segundo</t>
  </si>
  <si>
    <t xml:space="preserve">5 horas 21 minutos</t>
  </si>
  <si>
    <t xml:space="preserve">6 minutos 15 segundos</t>
  </si>
  <si>
    <t xml:space="preserve">6 minutos 22 segundos</t>
  </si>
  <si>
    <t xml:space="preserve">12 minutos 17 segundos</t>
  </si>
  <si>
    <t xml:space="preserve">5 minutos 14 segundos</t>
  </si>
  <si>
    <t xml:space="preserve">6 minutos 32 segundos</t>
  </si>
  <si>
    <t xml:space="preserve">6 minutos 13 segundos</t>
  </si>
  <si>
    <t xml:space="preserve">8 minutos 19 segundos</t>
  </si>
  <si>
    <t xml:space="preserve">2 minutos 19 segundos</t>
  </si>
  <si>
    <t xml:space="preserve">3 minutos 19 segundos</t>
  </si>
  <si>
    <t xml:space="preserve">9 minutos 11 segundos</t>
  </si>
  <si>
    <t xml:space="preserve">6 minutos 41 segundos</t>
  </si>
  <si>
    <t xml:space="preserve">9 minutos 47 segundos</t>
  </si>
  <si>
    <t xml:space="preserve">3 minutos 45 segundos</t>
  </si>
  <si>
    <t xml:space="preserve">1 minutos 19 segundos</t>
  </si>
  <si>
    <t xml:space="preserve">6 minutos 2 segundos</t>
  </si>
  <si>
    <t xml:space="preserve">5 minutos 53 segundos</t>
  </si>
  <si>
    <t xml:space="preserve">6 minutos 59 segundos</t>
  </si>
  <si>
    <t xml:space="preserve">3 minutos 51 segundos</t>
  </si>
  <si>
    <t xml:space="preserve">1 hora 37 minutos</t>
  </si>
  <si>
    <t xml:space="preserve">59 minutos 49 segundos</t>
  </si>
  <si>
    <t xml:space="preserve">32 minutos 32 segundos</t>
  </si>
  <si>
    <t xml:space="preserve">56 minutos 57 segundos</t>
  </si>
  <si>
    <t xml:space="preserve">29 minutos 3 segundos</t>
  </si>
  <si>
    <t xml:space="preserve">30 minutos 49 segundos</t>
  </si>
  <si>
    <t xml:space="preserve">32 minutos 30 segundos</t>
  </si>
  <si>
    <t xml:space="preserve">1 hora</t>
  </si>
  <si>
    <t xml:space="preserve">34 minutos 1 segundos</t>
  </si>
  <si>
    <t xml:space="preserve">45 minutos 6 segundos</t>
  </si>
  <si>
    <t xml:space="preserve">45 minutos 2 segundos</t>
  </si>
  <si>
    <t xml:space="preserve">27 minutos 57 segundos</t>
  </si>
  <si>
    <t xml:space="preserve">1 hora 6 minutos</t>
  </si>
  <si>
    <t xml:space="preserve">38 minutos 49 segundos</t>
  </si>
  <si>
    <t xml:space="preserve">34 minutos 32 segundos</t>
  </si>
  <si>
    <t xml:space="preserve">30 minutos 38 segundos</t>
  </si>
  <si>
    <t xml:space="preserve">59 minutos 34 segundos</t>
  </si>
  <si>
    <t xml:space="preserve">47 minutos 23 segundos</t>
  </si>
  <si>
    <t xml:space="preserve">29 minutos 39 segundos</t>
  </si>
  <si>
    <t xml:space="preserve">48 minutos 46 segundos</t>
  </si>
  <si>
    <t xml:space="preserve">40 minutos 16 segundos</t>
  </si>
  <si>
    <t xml:space="preserve">40 minutos 12 segundos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</si>
</sst>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hh:mm:ss"/>
    <numFmt numFmtId="167" formatCode="General"/>
  </numFmts>
  <fonts count="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0"/>
      <charset val="1"/>
    </font>
    <font>
      <sz val="10"/>
      <color rgb="FF000000"/>
      <name val="Times New Roman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4000"/>
        <bgColor rgb="FFFF0000"/>
      </patternFill>
    </fill>
    <fill>
      <patternFill patternType="solid">
        <fgColor rgb="FFFF0000"/>
        <bgColor rgb="FFCC0000"/>
      </patternFill>
    </fill>
    <fill>
      <patternFill patternType="solid">
        <fgColor rgb="FF81D41A"/>
        <bgColor rgb="FF8BC34A"/>
      </patternFill>
    </fill>
    <fill>
      <patternFill patternType="solid">
        <fgColor rgb="FFFFC107"/>
        <bgColor rgb="FFFF9900"/>
      </patternFill>
    </fill>
    <fill>
      <patternFill patternType="solid">
        <fgColor rgb="FF8BC34A"/>
        <bgColor rgb="FF81D41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color rgb="FFCC0000"/>
        <sz val="12"/>
      </font>
    </dxf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81D41A"/>
      <rgbColor rgb="FFFFC107"/>
      <rgbColor rgb="FFFF9900"/>
      <rgbColor rgb="FFFF4000"/>
      <rgbColor rgb="FF666699"/>
      <rgbColor rgb="FF8BC34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3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22" activeCellId="0" sqref="C22"/>
    </sheetView>
  </sheetViews>
  <sheetFormatPr defaultColWidth="8.87109375" defaultRowHeight="15" zeroHeight="false" outlineLevelRow="0" outlineLevelCol="0"/>
  <cols>
    <col collapsed="false" customWidth="true" hidden="false" outlineLevel="0" max="1" min="1" style="1" width="4.87"/>
    <col collapsed="false" customWidth="true" hidden="true" outlineLevel="0" max="2" min="2" style="1" width="21.98"/>
    <col collapsed="false" customWidth="true" hidden="false" outlineLevel="0" max="3" min="3" style="1" width="18.61"/>
    <col collapsed="false" customWidth="true" hidden="true" outlineLevel="0" max="4" min="4" style="1" width="33.13"/>
    <col collapsed="false" customWidth="true" hidden="true" outlineLevel="0" max="5" min="5" style="1" width="8.72"/>
    <col collapsed="false" customWidth="true" hidden="true" outlineLevel="0" max="6" min="6" style="1" width="10.95"/>
    <col collapsed="false" customWidth="true" hidden="true" outlineLevel="0" max="19" min="7" style="1" width="8.72"/>
    <col collapsed="false" customWidth="false" hidden="true" outlineLevel="0" max="38" min="20" style="1" width="8.87"/>
    <col collapsed="false" customWidth="false" hidden="true" outlineLevel="0" max="40" min="39" style="2" width="8.87"/>
    <col collapsed="false" customWidth="false" hidden="true" outlineLevel="0" max="47" min="41" style="1" width="8.87"/>
  </cols>
  <sheetData>
    <row r="1" customFormat="false" ht="15" hidden="false" customHeight="false" outlineLevel="0" collapsed="false">
      <c r="B1" s="3"/>
      <c r="C1" s="3"/>
      <c r="D1" s="3"/>
      <c r="E1" s="4"/>
      <c r="G1" s="4"/>
      <c r="I1" s="4"/>
      <c r="J1" s="4"/>
      <c r="K1" s="4"/>
      <c r="L1" s="4"/>
      <c r="M1" s="4"/>
      <c r="N1" s="4"/>
      <c r="P1" s="4"/>
      <c r="U1" s="5"/>
      <c r="V1" s="1" t="s">
        <v>0</v>
      </c>
      <c r="W1" s="1" t="s">
        <v>1</v>
      </c>
      <c r="X1" s="1" t="n">
        <v>9</v>
      </c>
      <c r="Y1" s="1" t="n">
        <v>10</v>
      </c>
      <c r="AQ1" s="3" t="s">
        <v>2</v>
      </c>
      <c r="AR1" s="1" t="n">
        <v>13</v>
      </c>
      <c r="AU1" s="1" t="n">
        <v>13</v>
      </c>
      <c r="AV1" s="1"/>
      <c r="BD1" s="1" t="n">
        <v>2</v>
      </c>
      <c r="BE1" s="1" t="n">
        <v>10</v>
      </c>
    </row>
    <row r="2" customFormat="false" ht="15" hidden="false" customHeight="false" outlineLevel="0" collapsed="false">
      <c r="A2" s="1" t="s">
        <v>3</v>
      </c>
      <c r="B2" s="3" t="s">
        <v>4</v>
      </c>
      <c r="C2" s="3" t="s">
        <v>5</v>
      </c>
      <c r="D2" s="3" t="s">
        <v>6</v>
      </c>
      <c r="E2" s="4" t="n">
        <v>45784</v>
      </c>
      <c r="F2" s="1" t="s">
        <v>1</v>
      </c>
      <c r="G2" s="4" t="n">
        <v>45791</v>
      </c>
      <c r="H2" s="1" t="s">
        <v>1</v>
      </c>
      <c r="I2" s="4" t="n">
        <v>45798</v>
      </c>
      <c r="J2" s="4" t="n">
        <v>45805</v>
      </c>
      <c r="K2" s="4" t="n">
        <v>45812</v>
      </c>
      <c r="L2" s="4" t="n">
        <v>45819</v>
      </c>
      <c r="M2" s="4" t="n">
        <v>45833</v>
      </c>
      <c r="N2" s="4" t="n">
        <v>45840</v>
      </c>
      <c r="O2" s="1" t="s">
        <v>1</v>
      </c>
      <c r="P2" s="4" t="n">
        <v>45854</v>
      </c>
      <c r="Q2" s="1" t="s">
        <v>7</v>
      </c>
      <c r="R2" s="1" t="s">
        <v>8</v>
      </c>
      <c r="S2" s="1" t="s">
        <v>9</v>
      </c>
      <c r="T2" s="1" t="s">
        <v>10</v>
      </c>
      <c r="U2" s="5" t="s">
        <v>11</v>
      </c>
      <c r="V2" s="4" t="n">
        <v>45889</v>
      </c>
      <c r="W2" s="4"/>
      <c r="X2" s="4" t="n">
        <v>45896</v>
      </c>
      <c r="Y2" s="4" t="n">
        <v>45903</v>
      </c>
      <c r="Z2" s="4" t="n">
        <v>45910</v>
      </c>
      <c r="AA2" s="4" t="n">
        <v>45917</v>
      </c>
      <c r="AB2" s="1" t="s">
        <v>1</v>
      </c>
      <c r="AC2" s="4" t="n">
        <v>45924</v>
      </c>
      <c r="AD2" s="4" t="n">
        <v>45931</v>
      </c>
      <c r="AE2" s="4" t="n">
        <v>45938</v>
      </c>
      <c r="AF2" s="3" t="s">
        <v>1</v>
      </c>
      <c r="AG2" s="4" t="n">
        <v>45945</v>
      </c>
      <c r="AH2" s="4" t="n">
        <v>45952</v>
      </c>
      <c r="AI2" s="4" t="n">
        <v>45959</v>
      </c>
      <c r="AJ2" s="4" t="n">
        <v>45966</v>
      </c>
      <c r="AK2" s="4" t="n">
        <v>45973</v>
      </c>
      <c r="AL2" s="3" t="s">
        <v>1</v>
      </c>
      <c r="AM2" s="6" t="n">
        <v>45980</v>
      </c>
      <c r="AN2" s="6" t="n">
        <v>45987</v>
      </c>
      <c r="AO2" s="7" t="s">
        <v>1</v>
      </c>
      <c r="AP2" s="3" t="s">
        <v>7</v>
      </c>
      <c r="AQ2" s="3" t="s">
        <v>8</v>
      </c>
      <c r="AR2" s="3" t="s">
        <v>9</v>
      </c>
      <c r="AS2" s="3" t="s">
        <v>12</v>
      </c>
      <c r="AT2" s="3" t="s">
        <v>11</v>
      </c>
      <c r="AU2" s="3" t="s">
        <v>1</v>
      </c>
      <c r="AV2" s="7" t="n">
        <v>45994</v>
      </c>
      <c r="AW2" s="7" t="s">
        <v>1</v>
      </c>
      <c r="AX2" s="7" t="n">
        <v>46001</v>
      </c>
      <c r="AY2" s="7" t="s">
        <v>7</v>
      </c>
      <c r="AZ2" s="7" t="s">
        <v>8</v>
      </c>
      <c r="BA2" s="7" t="s">
        <v>9</v>
      </c>
      <c r="BB2" s="3" t="s">
        <v>13</v>
      </c>
      <c r="BD2" s="3" t="s">
        <v>14</v>
      </c>
      <c r="BE2" s="3" t="s">
        <v>15</v>
      </c>
    </row>
    <row r="3" customFormat="false" ht="15" hidden="true" customHeight="false" outlineLevel="0" collapsed="false">
      <c r="A3" s="1" t="n">
        <v>1</v>
      </c>
      <c r="B3" s="3" t="s">
        <v>16</v>
      </c>
      <c r="C3" s="3" t="s">
        <v>17</v>
      </c>
      <c r="D3" s="3" t="s">
        <v>18</v>
      </c>
      <c r="E3" s="1" t="s">
        <v>19</v>
      </c>
      <c r="G3" s="1" t="s">
        <v>19</v>
      </c>
      <c r="I3" s="1" t="s">
        <v>19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19</v>
      </c>
      <c r="P3" s="1" t="s">
        <v>19</v>
      </c>
      <c r="Q3" s="1" t="n">
        <f aca="false">COUNTIF(E3:P3,"P")</f>
        <v>9</v>
      </c>
      <c r="R3" s="1" t="n">
        <f aca="false">COUNTIF(E3:P3,"M")</f>
        <v>0</v>
      </c>
      <c r="S3" s="1" t="n">
        <f aca="false">COUNTIF(E3:P3,"T")</f>
        <v>0</v>
      </c>
      <c r="T3" s="1" t="n">
        <f aca="false">ROUND(Q3+R3/2*S3/4,0)</f>
        <v>9</v>
      </c>
      <c r="U3" s="5" t="n">
        <f aca="false">ROUND(T3*10/$X$1,0)</f>
        <v>10</v>
      </c>
      <c r="V3" s="1" t="s">
        <v>20</v>
      </c>
      <c r="X3" s="1" t="s">
        <v>20</v>
      </c>
      <c r="Y3" s="1" t="s">
        <v>19</v>
      </c>
      <c r="Z3" s="1" t="s">
        <v>19</v>
      </c>
      <c r="AA3" s="1" t="s">
        <v>19</v>
      </c>
      <c r="AC3" s="1" t="s">
        <v>19</v>
      </c>
      <c r="AD3" s="1" t="s">
        <v>19</v>
      </c>
      <c r="AE3" s="1" t="s">
        <v>20</v>
      </c>
      <c r="AG3" s="3" t="s">
        <v>19</v>
      </c>
      <c r="AH3" s="3" t="s">
        <v>19</v>
      </c>
      <c r="AI3" s="3" t="s">
        <v>19</v>
      </c>
      <c r="AJ3" s="1" t="s">
        <v>19</v>
      </c>
      <c r="AK3" s="3" t="s">
        <v>19</v>
      </c>
      <c r="AM3" s="2" t="s">
        <v>19</v>
      </c>
      <c r="AN3" s="2" t="s">
        <v>21</v>
      </c>
      <c r="AO3" s="8" t="n">
        <v>0.645833333333333</v>
      </c>
      <c r="AP3" s="3" t="n">
        <f aca="false">COUNTIF(V3:AK3,"P")</f>
        <v>10</v>
      </c>
      <c r="AQ3" s="3" t="n">
        <f aca="false">COUNTIF(V3:AK3,"M")</f>
        <v>0</v>
      </c>
      <c r="AR3" s="3" t="n">
        <f aca="false">COUNTIF(V3:AK3,"T")</f>
        <v>0</v>
      </c>
      <c r="AS3" s="3" t="n">
        <f aca="false">COUNTIF(V3:AK3,"A")</f>
        <v>3</v>
      </c>
      <c r="AT3" s="9" t="n">
        <f aca="false">ROUND((AP3+AQ3/2+AR3/4)*10/13,0)</f>
        <v>8</v>
      </c>
    </row>
    <row r="4" customFormat="false" ht="15" hidden="false" customHeight="false" outlineLevel="0" collapsed="false">
      <c r="A4" s="1" t="n">
        <v>2</v>
      </c>
      <c r="B4" s="3" t="s">
        <v>22</v>
      </c>
      <c r="C4" s="10" t="s">
        <v>23</v>
      </c>
      <c r="D4" s="3" t="s">
        <v>24</v>
      </c>
      <c r="E4" s="1" t="s">
        <v>19</v>
      </c>
      <c r="G4" s="1" t="s">
        <v>19</v>
      </c>
      <c r="I4" s="1" t="s">
        <v>19</v>
      </c>
      <c r="J4" s="1" t="s">
        <v>20</v>
      </c>
      <c r="K4" s="1" t="s">
        <v>19</v>
      </c>
      <c r="L4" s="1" t="s">
        <v>19</v>
      </c>
      <c r="M4" s="1" t="s">
        <v>19</v>
      </c>
      <c r="N4" s="1" t="s">
        <v>19</v>
      </c>
      <c r="P4" s="1" t="s">
        <v>19</v>
      </c>
      <c r="Q4" s="1" t="n">
        <f aca="false">COUNTIF(E4:P4,"P")</f>
        <v>8</v>
      </c>
      <c r="R4" s="1" t="n">
        <f aca="false">COUNTIF(E4:P4,"M")</f>
        <v>0</v>
      </c>
      <c r="S4" s="1" t="n">
        <f aca="false">COUNTIF(E4:P4,"T")</f>
        <v>0</v>
      </c>
      <c r="T4" s="1" t="n">
        <f aca="false">ROUND(Q4+R4/2*S4/4,0)</f>
        <v>8</v>
      </c>
      <c r="U4" s="5" t="n">
        <f aca="false">ROUND(T4*10/$X$1,0)</f>
        <v>9</v>
      </c>
      <c r="V4" s="1" t="s">
        <v>19</v>
      </c>
      <c r="X4" s="1" t="s">
        <v>19</v>
      </c>
      <c r="Y4" s="1" t="s">
        <v>20</v>
      </c>
      <c r="Z4" s="1" t="s">
        <v>19</v>
      </c>
      <c r="AA4" s="1" t="s">
        <v>19</v>
      </c>
      <c r="AC4" s="1" t="s">
        <v>20</v>
      </c>
      <c r="AD4" s="1" t="s">
        <v>19</v>
      </c>
      <c r="AE4" s="1" t="s">
        <v>19</v>
      </c>
      <c r="AG4" s="3" t="s">
        <v>19</v>
      </c>
      <c r="AH4" s="3" t="s">
        <v>19</v>
      </c>
      <c r="AI4" s="3" t="s">
        <v>19</v>
      </c>
      <c r="AJ4" s="1" t="s">
        <v>19</v>
      </c>
      <c r="AK4" s="3" t="s">
        <v>19</v>
      </c>
      <c r="AM4" s="2" t="s">
        <v>19</v>
      </c>
      <c r="AN4" s="2" t="s">
        <v>19</v>
      </c>
      <c r="AP4" s="3" t="n">
        <f aca="false">COUNTIF(V4:AK4,"P")</f>
        <v>11</v>
      </c>
      <c r="AQ4" s="3" t="n">
        <f aca="false">COUNTIF(V4:AK4,"M")</f>
        <v>0</v>
      </c>
      <c r="AR4" s="3" t="n">
        <f aca="false">COUNTIF(V4:AK4,"T")</f>
        <v>0</v>
      </c>
      <c r="AS4" s="3" t="n">
        <f aca="false">COUNTIF(V4:AK4,"A")</f>
        <v>2</v>
      </c>
      <c r="AT4" s="9" t="n">
        <f aca="false">ROUND((AP4+AQ4/2+AR4/4)*10/13,0)</f>
        <v>8</v>
      </c>
      <c r="AV4" s="3" t="s">
        <v>19</v>
      </c>
      <c r="AX4" s="3" t="s">
        <v>19</v>
      </c>
      <c r="AY4" s="3" t="n">
        <f aca="false">COUNTIF(AV4:AX4,"P")</f>
        <v>2</v>
      </c>
      <c r="AZ4" s="3" t="n">
        <f aca="false">COUNTIF(AV4:AX4,"M")</f>
        <v>0</v>
      </c>
      <c r="BA4" s="3" t="n">
        <f aca="false">COUNTIF(AV4:AX4,"T")</f>
        <v>0</v>
      </c>
      <c r="BB4" s="9" t="n">
        <f aca="false">ROUND((AY4+AZ4/2+BA4/4)*5,0)</f>
        <v>10</v>
      </c>
    </row>
    <row r="5" customFormat="false" ht="15" hidden="true" customHeight="false" outlineLevel="0" collapsed="false">
      <c r="A5" s="1" t="n">
        <v>3</v>
      </c>
      <c r="B5" s="3" t="s">
        <v>25</v>
      </c>
      <c r="C5" s="3" t="s">
        <v>26</v>
      </c>
      <c r="D5" s="3" t="s">
        <v>27</v>
      </c>
      <c r="E5" s="1" t="s">
        <v>19</v>
      </c>
      <c r="G5" s="1" t="s">
        <v>19</v>
      </c>
      <c r="I5" s="1" t="s">
        <v>19</v>
      </c>
      <c r="J5" s="1" t="s">
        <v>19</v>
      </c>
      <c r="K5" s="1" t="s">
        <v>19</v>
      </c>
      <c r="L5" s="1" t="s">
        <v>19</v>
      </c>
      <c r="M5" s="1" t="s">
        <v>19</v>
      </c>
      <c r="N5" s="1" t="s">
        <v>19</v>
      </c>
      <c r="P5" s="1" t="s">
        <v>19</v>
      </c>
      <c r="Q5" s="1" t="n">
        <f aca="false">COUNTIF(E5:P5,"P")</f>
        <v>9</v>
      </c>
      <c r="R5" s="1" t="n">
        <f aca="false">COUNTIF(E5:P5,"M")</f>
        <v>0</v>
      </c>
      <c r="S5" s="1" t="n">
        <f aca="false">COUNTIF(E5:P5,"T")</f>
        <v>0</v>
      </c>
      <c r="T5" s="1" t="n">
        <f aca="false">ROUND(Q5+R5/2*S5/4,0)</f>
        <v>9</v>
      </c>
      <c r="U5" s="5" t="n">
        <f aca="false">ROUND(T5*10/$X$1,0)</f>
        <v>10</v>
      </c>
      <c r="V5" s="1" t="s">
        <v>20</v>
      </c>
      <c r="X5" s="1" t="s">
        <v>19</v>
      </c>
      <c r="Y5" s="1" t="s">
        <v>19</v>
      </c>
      <c r="Z5" s="1" t="s">
        <v>19</v>
      </c>
      <c r="AA5" s="1" t="s">
        <v>19</v>
      </c>
      <c r="AB5" s="1" t="s">
        <v>28</v>
      </c>
      <c r="AC5" s="1" t="s">
        <v>19</v>
      </c>
      <c r="AD5" s="1" t="s">
        <v>19</v>
      </c>
      <c r="AE5" s="1" t="s">
        <v>19</v>
      </c>
      <c r="AG5" s="3" t="s">
        <v>19</v>
      </c>
      <c r="AH5" s="3" t="s">
        <v>19</v>
      </c>
      <c r="AI5" s="3" t="s">
        <v>19</v>
      </c>
      <c r="AJ5" s="1" t="s">
        <v>19</v>
      </c>
      <c r="AK5" s="3" t="s">
        <v>19</v>
      </c>
      <c r="AM5" s="2" t="s">
        <v>19</v>
      </c>
      <c r="AN5" s="2" t="s">
        <v>19</v>
      </c>
      <c r="AP5" s="3" t="n">
        <f aca="false">COUNTIF(V5:AK5,"P")</f>
        <v>12</v>
      </c>
      <c r="AQ5" s="3" t="n">
        <f aca="false">COUNTIF(V5:AK5,"M")</f>
        <v>0</v>
      </c>
      <c r="AR5" s="3" t="n">
        <f aca="false">COUNTIF(V5:AK5,"T")</f>
        <v>0</v>
      </c>
      <c r="AS5" s="3" t="n">
        <f aca="false">COUNTIF(V5:AK5,"A")</f>
        <v>1</v>
      </c>
      <c r="AT5" s="9" t="n">
        <f aca="false">ROUND((AP5+AQ5/2+AR5/4)*10/13,0)</f>
        <v>9</v>
      </c>
      <c r="BB5" s="9"/>
    </row>
    <row r="6" customFormat="false" ht="15" hidden="true" customHeight="false" outlineLevel="0" collapsed="false">
      <c r="A6" s="1" t="n">
        <v>4</v>
      </c>
      <c r="B6" s="3" t="s">
        <v>29</v>
      </c>
      <c r="C6" s="3" t="s">
        <v>30</v>
      </c>
      <c r="D6" s="3" t="s">
        <v>31</v>
      </c>
      <c r="E6" s="1" t="s">
        <v>32</v>
      </c>
      <c r="F6" s="1" t="s">
        <v>33</v>
      </c>
      <c r="G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19</v>
      </c>
      <c r="P6" s="1" t="s">
        <v>19</v>
      </c>
      <c r="Q6" s="1" t="n">
        <f aca="false">COUNTIF(E6:P6,"P")</f>
        <v>8</v>
      </c>
      <c r="R6" s="1" t="n">
        <f aca="false">COUNTIF(E6:P6,"M")</f>
        <v>1</v>
      </c>
      <c r="S6" s="1" t="n">
        <f aca="false">COUNTIF(E6:P6,"T")</f>
        <v>0</v>
      </c>
      <c r="T6" s="1" t="n">
        <f aca="false">ROUND(Q6+R6/2*S6/4,0)</f>
        <v>8</v>
      </c>
      <c r="U6" s="5" t="n">
        <f aca="false">ROUND(T6*10/$X$1,0)</f>
        <v>9</v>
      </c>
      <c r="V6" s="1" t="s">
        <v>20</v>
      </c>
      <c r="X6" s="1" t="s">
        <v>19</v>
      </c>
      <c r="Y6" s="1" t="s">
        <v>19</v>
      </c>
      <c r="Z6" s="1" t="s">
        <v>19</v>
      </c>
      <c r="AA6" s="1" t="s">
        <v>19</v>
      </c>
      <c r="AC6" s="1" t="s">
        <v>19</v>
      </c>
      <c r="AD6" s="1" t="s">
        <v>19</v>
      </c>
      <c r="AE6" s="1" t="s">
        <v>32</v>
      </c>
      <c r="AF6" s="8" t="n">
        <v>0.583333333333333</v>
      </c>
      <c r="AG6" s="3" t="s">
        <v>19</v>
      </c>
      <c r="AH6" s="3" t="s">
        <v>20</v>
      </c>
      <c r="AI6" s="3" t="s">
        <v>19</v>
      </c>
      <c r="AJ6" s="1" t="s">
        <v>19</v>
      </c>
      <c r="AK6" s="3" t="s">
        <v>19</v>
      </c>
      <c r="AM6" s="2" t="s">
        <v>19</v>
      </c>
      <c r="AN6" s="2" t="s">
        <v>19</v>
      </c>
      <c r="AP6" s="3" t="n">
        <f aca="false">COUNTIF(V6:AK6,"P")</f>
        <v>10</v>
      </c>
      <c r="AQ6" s="3" t="n">
        <f aca="false">COUNTIF(V6:AK6,"M")</f>
        <v>1</v>
      </c>
      <c r="AR6" s="3" t="n">
        <f aca="false">COUNTIF(V6:AK6,"T")</f>
        <v>0</v>
      </c>
      <c r="AS6" s="3" t="n">
        <f aca="false">COUNTIF(V6:AK6,"A")</f>
        <v>2</v>
      </c>
      <c r="AT6" s="9" t="n">
        <f aca="false">ROUND((AP6+AQ6/2+AR6/4)*10/13,0)</f>
        <v>8</v>
      </c>
      <c r="BB6" s="9"/>
    </row>
    <row r="7" customFormat="false" ht="15" hidden="true" customHeight="false" outlineLevel="0" collapsed="false">
      <c r="A7" s="1" t="n">
        <v>5</v>
      </c>
      <c r="B7" s="3" t="s">
        <v>34</v>
      </c>
      <c r="C7" s="3" t="s">
        <v>35</v>
      </c>
      <c r="D7" s="3" t="s">
        <v>36</v>
      </c>
      <c r="E7" s="1" t="s">
        <v>19</v>
      </c>
      <c r="G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19</v>
      </c>
      <c r="O7" s="1" t="s">
        <v>37</v>
      </c>
      <c r="P7" s="1" t="s">
        <v>19</v>
      </c>
      <c r="Q7" s="1" t="n">
        <f aca="false">COUNTIF(E7:P7,"P")</f>
        <v>9</v>
      </c>
      <c r="R7" s="1" t="n">
        <f aca="false">COUNTIF(E7:P7,"M")</f>
        <v>0</v>
      </c>
      <c r="S7" s="1" t="n">
        <f aca="false">COUNTIF(E7:P7,"T")</f>
        <v>0</v>
      </c>
      <c r="T7" s="1" t="n">
        <f aca="false">ROUND(Q7+R7/2*S7/4,0)</f>
        <v>9</v>
      </c>
      <c r="U7" s="5" t="n">
        <f aca="false">ROUND(T7*10/$X$1,0)</f>
        <v>10</v>
      </c>
      <c r="V7" s="1" t="s">
        <v>19</v>
      </c>
      <c r="X7" s="1" t="s">
        <v>19</v>
      </c>
      <c r="Y7" s="1" t="s">
        <v>19</v>
      </c>
      <c r="Z7" s="1" t="s">
        <v>19</v>
      </c>
      <c r="AA7" s="1" t="s">
        <v>19</v>
      </c>
      <c r="AC7" s="1" t="s">
        <v>19</v>
      </c>
      <c r="AD7" s="1" t="s">
        <v>19</v>
      </c>
      <c r="AE7" s="1" t="s">
        <v>19</v>
      </c>
      <c r="AG7" s="3" t="s">
        <v>19</v>
      </c>
      <c r="AH7" s="3" t="s">
        <v>19</v>
      </c>
      <c r="AI7" s="3" t="s">
        <v>19</v>
      </c>
      <c r="AJ7" s="1" t="s">
        <v>19</v>
      </c>
      <c r="AK7" s="3" t="s">
        <v>20</v>
      </c>
      <c r="AM7" s="2" t="s">
        <v>19</v>
      </c>
      <c r="AN7" s="2" t="s">
        <v>19</v>
      </c>
      <c r="AP7" s="3" t="n">
        <f aca="false">COUNTIF(V7:AK7,"P")</f>
        <v>12</v>
      </c>
      <c r="AQ7" s="3" t="n">
        <f aca="false">COUNTIF(V7:AK7,"M")</f>
        <v>0</v>
      </c>
      <c r="AR7" s="3" t="n">
        <f aca="false">COUNTIF(V7:AK7,"T")</f>
        <v>0</v>
      </c>
      <c r="AS7" s="3" t="n">
        <f aca="false">COUNTIF(V7:AK7,"A")</f>
        <v>1</v>
      </c>
      <c r="AT7" s="9" t="n">
        <f aca="false">ROUND((AP7+AQ7/2+AR7/4)*10/13,0)</f>
        <v>9</v>
      </c>
      <c r="BB7" s="9"/>
    </row>
    <row r="8" customFormat="false" ht="15" hidden="false" customHeight="false" outlineLevel="0" collapsed="false">
      <c r="A8" s="1" t="n">
        <v>6</v>
      </c>
      <c r="B8" s="3" t="s">
        <v>38</v>
      </c>
      <c r="C8" s="11" t="s">
        <v>39</v>
      </c>
      <c r="D8" s="3" t="s">
        <v>40</v>
      </c>
      <c r="E8" s="1" t="s">
        <v>20</v>
      </c>
      <c r="G8" s="1" t="s">
        <v>32</v>
      </c>
      <c r="H8" s="1" t="s">
        <v>41</v>
      </c>
      <c r="I8" s="1" t="s">
        <v>19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19</v>
      </c>
      <c r="P8" s="1" t="s">
        <v>19</v>
      </c>
      <c r="Q8" s="1" t="n">
        <f aca="false">COUNTIF(E8:P8,"P")</f>
        <v>7</v>
      </c>
      <c r="R8" s="1" t="n">
        <f aca="false">COUNTIF(E8:P8,"M")</f>
        <v>1</v>
      </c>
      <c r="S8" s="1" t="n">
        <f aca="false">COUNTIF(E8:P8,"T")</f>
        <v>0</v>
      </c>
      <c r="T8" s="1" t="n">
        <f aca="false">ROUND(Q8+R8/2*S8/4,0)</f>
        <v>7</v>
      </c>
      <c r="U8" s="5" t="n">
        <f aca="false">ROUND(T8*10/$X$1,0)</f>
        <v>8</v>
      </c>
      <c r="V8" s="1" t="s">
        <v>19</v>
      </c>
      <c r="X8" s="1" t="s">
        <v>19</v>
      </c>
      <c r="Y8" s="1" t="s">
        <v>19</v>
      </c>
      <c r="Z8" s="1" t="s">
        <v>20</v>
      </c>
      <c r="AA8" s="1" t="s">
        <v>19</v>
      </c>
      <c r="AC8" s="1" t="s">
        <v>20</v>
      </c>
      <c r="AD8" s="1" t="s">
        <v>20</v>
      </c>
      <c r="AE8" s="1" t="s">
        <v>32</v>
      </c>
      <c r="AF8" s="8" t="n">
        <v>0.583333333333333</v>
      </c>
      <c r="AG8" s="3" t="s">
        <v>20</v>
      </c>
      <c r="AH8" s="3" t="s">
        <v>19</v>
      </c>
      <c r="AI8" s="3" t="s">
        <v>19</v>
      </c>
      <c r="AJ8" s="1" t="s">
        <v>20</v>
      </c>
      <c r="AK8" s="3" t="s">
        <v>19</v>
      </c>
      <c r="AM8" s="2" t="s">
        <v>19</v>
      </c>
      <c r="AN8" s="2" t="s">
        <v>20</v>
      </c>
      <c r="AP8" s="3" t="n">
        <f aca="false">COUNTIF(V8:AK8,"P")</f>
        <v>7</v>
      </c>
      <c r="AQ8" s="3" t="n">
        <f aca="false">COUNTIF(V8:AK8,"M")</f>
        <v>1</v>
      </c>
      <c r="AR8" s="3" t="n">
        <f aca="false">COUNTIF(V8:AK8,"T")</f>
        <v>0</v>
      </c>
      <c r="AS8" s="3" t="n">
        <f aca="false">COUNTIF(V8:AK8,"A")</f>
        <v>5</v>
      </c>
      <c r="AT8" s="9" t="n">
        <f aca="false">ROUND((AP8+AQ8/2+AR8/4)*10/13,0)</f>
        <v>6</v>
      </c>
      <c r="AV8" s="3" t="s">
        <v>20</v>
      </c>
      <c r="AX8" s="3" t="s">
        <v>20</v>
      </c>
      <c r="AY8" s="3" t="n">
        <f aca="false">COUNTIF(AV8:AX8,"P")</f>
        <v>0</v>
      </c>
      <c r="AZ8" s="3" t="n">
        <f aca="false">COUNTIF(AV8:AX8,"M")</f>
        <v>0</v>
      </c>
      <c r="BA8" s="3" t="n">
        <f aca="false">COUNTIF(AV8:AX8,"T")</f>
        <v>0</v>
      </c>
      <c r="BB8" s="9" t="n">
        <f aca="false">ROUND((AY8+AZ8/2+BA8/4)*5,0)</f>
        <v>0</v>
      </c>
    </row>
    <row r="9" customFormat="false" ht="15" hidden="true" customHeight="false" outlineLevel="0" collapsed="false">
      <c r="A9" s="1" t="n">
        <v>7</v>
      </c>
      <c r="B9" s="3" t="s">
        <v>42</v>
      </c>
      <c r="C9" s="3" t="s">
        <v>43</v>
      </c>
      <c r="D9" s="3" t="s">
        <v>44</v>
      </c>
      <c r="E9" s="1" t="s">
        <v>19</v>
      </c>
      <c r="G9" s="1" t="s">
        <v>19</v>
      </c>
      <c r="I9" s="1" t="s">
        <v>19</v>
      </c>
      <c r="J9" s="1" t="s">
        <v>19</v>
      </c>
      <c r="K9" s="1" t="s">
        <v>19</v>
      </c>
      <c r="L9" s="1" t="s">
        <v>19</v>
      </c>
      <c r="M9" s="1" t="s">
        <v>19</v>
      </c>
      <c r="N9" s="1" t="s">
        <v>19</v>
      </c>
      <c r="P9" s="1" t="s">
        <v>19</v>
      </c>
      <c r="Q9" s="1" t="n">
        <f aca="false">COUNTIF(E9:P9,"P")</f>
        <v>9</v>
      </c>
      <c r="R9" s="1" t="n">
        <f aca="false">COUNTIF(E9:P9,"M")</f>
        <v>0</v>
      </c>
      <c r="S9" s="1" t="n">
        <f aca="false">COUNTIF(E9:P9,"T")</f>
        <v>0</v>
      </c>
      <c r="T9" s="1" t="n">
        <f aca="false">ROUND(Q9+R9/2*S9/4,0)</f>
        <v>9</v>
      </c>
      <c r="U9" s="5" t="n">
        <f aca="false">ROUND(T9*10/$X$1,0)</f>
        <v>10</v>
      </c>
      <c r="V9" s="1" t="s">
        <v>19</v>
      </c>
      <c r="X9" s="1" t="s">
        <v>19</v>
      </c>
      <c r="Y9" s="1" t="s">
        <v>19</v>
      </c>
      <c r="Z9" s="1" t="s">
        <v>19</v>
      </c>
      <c r="AA9" s="1" t="s">
        <v>19</v>
      </c>
      <c r="AC9" s="1" t="s">
        <v>19</v>
      </c>
      <c r="AD9" s="1" t="s">
        <v>19</v>
      </c>
      <c r="AE9" s="1" t="s">
        <v>19</v>
      </c>
      <c r="AG9" s="3" t="s">
        <v>19</v>
      </c>
      <c r="AH9" s="3" t="s">
        <v>19</v>
      </c>
      <c r="AI9" s="3" t="s">
        <v>19</v>
      </c>
      <c r="AJ9" s="1" t="s">
        <v>19</v>
      </c>
      <c r="AK9" s="3" t="s">
        <v>19</v>
      </c>
      <c r="AM9" s="2" t="s">
        <v>19</v>
      </c>
      <c r="AN9" s="2" t="s">
        <v>19</v>
      </c>
      <c r="AP9" s="3" t="n">
        <f aca="false">COUNTIF(V9:AK9,"P")</f>
        <v>13</v>
      </c>
      <c r="AQ9" s="3" t="n">
        <f aca="false">COUNTIF(V9:AK9,"M")</f>
        <v>0</v>
      </c>
      <c r="AR9" s="3" t="n">
        <f aca="false">COUNTIF(V9:AK9,"T")</f>
        <v>0</v>
      </c>
      <c r="AS9" s="3" t="n">
        <f aca="false">COUNTIF(V9:AK9,"A")</f>
        <v>0</v>
      </c>
      <c r="AT9" s="9" t="n">
        <f aca="false">ROUND((AP9+AQ9/2+AR9/4)*10/13,0)</f>
        <v>10</v>
      </c>
      <c r="BB9" s="9"/>
    </row>
    <row r="10" customFormat="false" ht="15" hidden="true" customHeight="false" outlineLevel="0" collapsed="false">
      <c r="A10" s="1" t="n">
        <v>8</v>
      </c>
      <c r="B10" s="3" t="s">
        <v>45</v>
      </c>
      <c r="C10" s="3" t="s">
        <v>46</v>
      </c>
      <c r="D10" s="3" t="s">
        <v>47</v>
      </c>
      <c r="E10" s="1" t="s">
        <v>19</v>
      </c>
      <c r="G10" s="1" t="s">
        <v>19</v>
      </c>
      <c r="I10" s="1" t="s">
        <v>19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19</v>
      </c>
      <c r="P10" s="1" t="s">
        <v>19</v>
      </c>
      <c r="Q10" s="1" t="n">
        <f aca="false">COUNTIF(E10:P10,"P")</f>
        <v>9</v>
      </c>
      <c r="R10" s="1" t="n">
        <f aca="false">COUNTIF(E10:P10,"M")</f>
        <v>0</v>
      </c>
      <c r="S10" s="1" t="n">
        <f aca="false">COUNTIF(E10:P10,"T")</f>
        <v>0</v>
      </c>
      <c r="T10" s="1" t="n">
        <f aca="false">ROUND(Q10+R10/2*S10/4,0)</f>
        <v>9</v>
      </c>
      <c r="U10" s="5" t="n">
        <f aca="false">ROUND(T10*10/$X$1,0)</f>
        <v>10</v>
      </c>
      <c r="V10" s="1" t="s">
        <v>19</v>
      </c>
      <c r="X10" s="1" t="s">
        <v>19</v>
      </c>
      <c r="Y10" s="1" t="s">
        <v>19</v>
      </c>
      <c r="Z10" s="1" t="s">
        <v>19</v>
      </c>
      <c r="AA10" s="1" t="s">
        <v>19</v>
      </c>
      <c r="AC10" s="1" t="s">
        <v>19</v>
      </c>
      <c r="AD10" s="1" t="s">
        <v>19</v>
      </c>
      <c r="AE10" s="1" t="s">
        <v>20</v>
      </c>
      <c r="AG10" s="3" t="s">
        <v>19</v>
      </c>
      <c r="AH10" s="3" t="s">
        <v>19</v>
      </c>
      <c r="AI10" s="3" t="s">
        <v>19</v>
      </c>
      <c r="AJ10" s="1" t="s">
        <v>19</v>
      </c>
      <c r="AK10" s="3" t="s">
        <v>19</v>
      </c>
      <c r="AM10" s="2" t="s">
        <v>20</v>
      </c>
      <c r="AN10" s="2" t="s">
        <v>21</v>
      </c>
      <c r="AO10" s="8" t="n">
        <v>0.645833333333333</v>
      </c>
      <c r="AP10" s="3" t="n">
        <f aca="false">COUNTIF(V10:AK10,"P")</f>
        <v>12</v>
      </c>
      <c r="AQ10" s="3" t="n">
        <f aca="false">COUNTIF(V10:AK10,"M")</f>
        <v>0</v>
      </c>
      <c r="AR10" s="3" t="n">
        <f aca="false">COUNTIF(V10:AK10,"T")</f>
        <v>0</v>
      </c>
      <c r="AS10" s="3" t="n">
        <f aca="false">COUNTIF(V10:AK10,"A")</f>
        <v>1</v>
      </c>
      <c r="AT10" s="9" t="n">
        <f aca="false">ROUND((AP10+AQ10/2+AR10/4)*10/13,0)</f>
        <v>9</v>
      </c>
      <c r="BB10" s="9"/>
    </row>
    <row r="11" customFormat="false" ht="15" hidden="true" customHeight="false" outlineLevel="0" collapsed="false">
      <c r="A11" s="1" t="n">
        <v>9</v>
      </c>
      <c r="B11" s="3" t="s">
        <v>48</v>
      </c>
      <c r="C11" s="3" t="s">
        <v>49</v>
      </c>
      <c r="D11" s="3" t="s">
        <v>50</v>
      </c>
      <c r="E11" s="1" t="s">
        <v>19</v>
      </c>
      <c r="G11" s="1" t="s">
        <v>19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19</v>
      </c>
      <c r="P11" s="1" t="s">
        <v>19</v>
      </c>
      <c r="Q11" s="1" t="n">
        <f aca="false">COUNTIF(E11:P11,"P")</f>
        <v>9</v>
      </c>
      <c r="R11" s="1" t="n">
        <f aca="false">COUNTIF(E11:P11,"M")</f>
        <v>0</v>
      </c>
      <c r="S11" s="1" t="n">
        <f aca="false">COUNTIF(E11:P11,"T")</f>
        <v>0</v>
      </c>
      <c r="T11" s="1" t="n">
        <f aca="false">ROUND(Q11+R11/2*S11/4,0)</f>
        <v>9</v>
      </c>
      <c r="U11" s="5" t="n">
        <f aca="false">ROUND(T11*10/$X$1,0)</f>
        <v>10</v>
      </c>
      <c r="V11" s="1" t="s">
        <v>19</v>
      </c>
      <c r="X11" s="1" t="s">
        <v>19</v>
      </c>
      <c r="Y11" s="1" t="s">
        <v>19</v>
      </c>
      <c r="Z11" s="1" t="s">
        <v>19</v>
      </c>
      <c r="AA11" s="1" t="s">
        <v>19</v>
      </c>
      <c r="AC11" s="1" t="s">
        <v>19</v>
      </c>
      <c r="AD11" s="1" t="s">
        <v>19</v>
      </c>
      <c r="AE11" s="1" t="s">
        <v>19</v>
      </c>
      <c r="AG11" s="3" t="s">
        <v>19</v>
      </c>
      <c r="AH11" s="3" t="s">
        <v>19</v>
      </c>
      <c r="AI11" s="3" t="s">
        <v>19</v>
      </c>
      <c r="AJ11" s="1" t="s">
        <v>19</v>
      </c>
      <c r="AK11" s="3" t="s">
        <v>19</v>
      </c>
      <c r="AM11" s="2" t="s">
        <v>19</v>
      </c>
      <c r="AN11" s="2" t="s">
        <v>19</v>
      </c>
      <c r="AP11" s="3" t="n">
        <f aca="false">COUNTIF(V11:AK11,"P")</f>
        <v>13</v>
      </c>
      <c r="AQ11" s="3" t="n">
        <f aca="false">COUNTIF(V11:AK11,"M")</f>
        <v>0</v>
      </c>
      <c r="AR11" s="3" t="n">
        <f aca="false">COUNTIF(V11:AK11,"T")</f>
        <v>0</v>
      </c>
      <c r="AS11" s="3" t="n">
        <f aca="false">COUNTIF(V11:AK11,"A")</f>
        <v>0</v>
      </c>
      <c r="AT11" s="9" t="n">
        <f aca="false">ROUND((AP11+AQ11/2+AR11/4)*10/13,0)</f>
        <v>10</v>
      </c>
      <c r="BB11" s="9"/>
    </row>
    <row r="12" customFormat="false" ht="15" hidden="true" customHeight="false" outlineLevel="0" collapsed="false">
      <c r="A12" s="1" t="n">
        <v>10</v>
      </c>
      <c r="B12" s="3" t="s">
        <v>51</v>
      </c>
      <c r="C12" s="3" t="s">
        <v>52</v>
      </c>
      <c r="D12" s="3" t="s">
        <v>53</v>
      </c>
      <c r="E12" s="1" t="s">
        <v>19</v>
      </c>
      <c r="G12" s="1" t="s">
        <v>19</v>
      </c>
      <c r="I12" s="1" t="s">
        <v>19</v>
      </c>
      <c r="J12" s="1" t="s">
        <v>19</v>
      </c>
      <c r="K12" s="1" t="s">
        <v>19</v>
      </c>
      <c r="L12" s="1" t="s">
        <v>19</v>
      </c>
      <c r="M12" s="1" t="s">
        <v>19</v>
      </c>
      <c r="N12" s="1" t="s">
        <v>19</v>
      </c>
      <c r="P12" s="1" t="s">
        <v>19</v>
      </c>
      <c r="Q12" s="1" t="n">
        <f aca="false">COUNTIF(E12:P12,"P")</f>
        <v>9</v>
      </c>
      <c r="R12" s="1" t="n">
        <f aca="false">COUNTIF(E12:P12,"M")</f>
        <v>0</v>
      </c>
      <c r="S12" s="1" t="n">
        <f aca="false">COUNTIF(E12:P12,"T")</f>
        <v>0</v>
      </c>
      <c r="T12" s="1" t="n">
        <f aca="false">ROUND(Q12+R12/2*S12/4,0)</f>
        <v>9</v>
      </c>
      <c r="U12" s="5" t="n">
        <f aca="false">ROUND(T12*10/$X$1,0)</f>
        <v>10</v>
      </c>
      <c r="V12" s="1" t="s">
        <v>20</v>
      </c>
      <c r="X12" s="1" t="s">
        <v>19</v>
      </c>
      <c r="Y12" s="1" t="s">
        <v>19</v>
      </c>
      <c r="Z12" s="1" t="s">
        <v>19</v>
      </c>
      <c r="AA12" s="1" t="s">
        <v>20</v>
      </c>
      <c r="AC12" s="1" t="s">
        <v>19</v>
      </c>
      <c r="AD12" s="1" t="s">
        <v>20</v>
      </c>
      <c r="AE12" s="1" t="s">
        <v>19</v>
      </c>
      <c r="AG12" s="3" t="s">
        <v>19</v>
      </c>
      <c r="AH12" s="3" t="s">
        <v>19</v>
      </c>
      <c r="AI12" s="3" t="s">
        <v>19</v>
      </c>
      <c r="AJ12" s="1" t="s">
        <v>20</v>
      </c>
      <c r="AK12" s="3" t="s">
        <v>19</v>
      </c>
      <c r="AM12" s="2" t="s">
        <v>19</v>
      </c>
      <c r="AN12" s="2" t="s">
        <v>19</v>
      </c>
      <c r="AP12" s="3" t="n">
        <f aca="false">COUNTIF(V12:AK12,"P")</f>
        <v>9</v>
      </c>
      <c r="AQ12" s="3" t="n">
        <f aca="false">COUNTIF(V12:AK12,"M")</f>
        <v>0</v>
      </c>
      <c r="AR12" s="3" t="n">
        <f aca="false">COUNTIF(V12:AK12,"T")</f>
        <v>0</v>
      </c>
      <c r="AS12" s="3" t="n">
        <f aca="false">COUNTIF(V12:AK12,"A")</f>
        <v>4</v>
      </c>
      <c r="AT12" s="9" t="n">
        <f aca="false">ROUND((AP12+AQ12/2+AR12/4)*10/13,0)</f>
        <v>7</v>
      </c>
      <c r="AV12" s="3"/>
      <c r="BB12" s="9"/>
    </row>
    <row r="13" customFormat="false" ht="15" hidden="true" customHeight="false" outlineLevel="0" collapsed="false">
      <c r="A13" s="1" t="n">
        <v>11</v>
      </c>
      <c r="B13" s="3" t="s">
        <v>54</v>
      </c>
      <c r="C13" s="3" t="s">
        <v>55</v>
      </c>
      <c r="D13" s="3" t="s">
        <v>56</v>
      </c>
      <c r="E13" s="1" t="s">
        <v>19</v>
      </c>
      <c r="G13" s="1" t="s">
        <v>19</v>
      </c>
      <c r="I13" s="1" t="s">
        <v>19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19</v>
      </c>
      <c r="P13" s="1" t="s">
        <v>19</v>
      </c>
      <c r="Q13" s="1" t="n">
        <f aca="false">COUNTIF(E13:P13,"P")</f>
        <v>9</v>
      </c>
      <c r="R13" s="1" t="n">
        <f aca="false">COUNTIF(E13:P13,"M")</f>
        <v>0</v>
      </c>
      <c r="S13" s="1" t="n">
        <f aca="false">COUNTIF(E13:P13,"T")</f>
        <v>0</v>
      </c>
      <c r="T13" s="1" t="n">
        <f aca="false">ROUND(Q13+R13/2*S13/4,0)</f>
        <v>9</v>
      </c>
      <c r="U13" s="5" t="n">
        <f aca="false">ROUND(T13*10/$X$1,0)</f>
        <v>10</v>
      </c>
      <c r="V13" s="1" t="s">
        <v>20</v>
      </c>
      <c r="X13" s="1" t="s">
        <v>19</v>
      </c>
      <c r="Y13" s="1" t="s">
        <v>19</v>
      </c>
      <c r="Z13" s="1" t="s">
        <v>19</v>
      </c>
      <c r="AA13" s="1" t="s">
        <v>19</v>
      </c>
      <c r="AC13" s="1" t="s">
        <v>19</v>
      </c>
      <c r="AD13" s="1" t="s">
        <v>19</v>
      </c>
      <c r="AE13" s="1" t="s">
        <v>19</v>
      </c>
      <c r="AG13" s="3" t="s">
        <v>19</v>
      </c>
      <c r="AH13" s="3" t="s">
        <v>19</v>
      </c>
      <c r="AI13" s="3" t="s">
        <v>19</v>
      </c>
      <c r="AJ13" s="1" t="s">
        <v>19</v>
      </c>
      <c r="AK13" s="3" t="s">
        <v>19</v>
      </c>
      <c r="AM13" s="2" t="s">
        <v>19</v>
      </c>
      <c r="AN13" s="2" t="s">
        <v>20</v>
      </c>
      <c r="AP13" s="3" t="n">
        <f aca="false">COUNTIF(V13:AK13,"P")</f>
        <v>12</v>
      </c>
      <c r="AQ13" s="3" t="n">
        <f aca="false">COUNTIF(V13:AK13,"M")</f>
        <v>0</v>
      </c>
      <c r="AR13" s="3" t="n">
        <f aca="false">COUNTIF(V13:AK13,"T")</f>
        <v>0</v>
      </c>
      <c r="AS13" s="3" t="n">
        <f aca="false">COUNTIF(V13:AK13,"A")</f>
        <v>1</v>
      </c>
      <c r="AT13" s="9" t="n">
        <f aca="false">ROUND((AP13+AQ13/2+AR13/4)*10/13,0)</f>
        <v>9</v>
      </c>
      <c r="BB13" s="9"/>
    </row>
    <row r="14" customFormat="false" ht="15" hidden="true" customHeight="false" outlineLevel="0" collapsed="false">
      <c r="A14" s="1" t="n">
        <v>12</v>
      </c>
      <c r="B14" s="3" t="s">
        <v>57</v>
      </c>
      <c r="C14" s="3" t="s">
        <v>58</v>
      </c>
      <c r="D14" s="3" t="s">
        <v>59</v>
      </c>
      <c r="E14" s="1" t="s">
        <v>19</v>
      </c>
      <c r="G14" s="1" t="s">
        <v>19</v>
      </c>
      <c r="I14" s="1" t="s">
        <v>19</v>
      </c>
      <c r="J14" s="1" t="s">
        <v>19</v>
      </c>
      <c r="K14" s="1" t="s">
        <v>19</v>
      </c>
      <c r="L14" s="1" t="s">
        <v>20</v>
      </c>
      <c r="M14" s="1" t="s">
        <v>19</v>
      </c>
      <c r="N14" s="1" t="s">
        <v>20</v>
      </c>
      <c r="P14" s="1" t="s">
        <v>19</v>
      </c>
      <c r="Q14" s="1" t="n">
        <f aca="false">COUNTIF(E14:P14,"P")</f>
        <v>7</v>
      </c>
      <c r="R14" s="1" t="n">
        <f aca="false">COUNTIF(E14:P14,"M")</f>
        <v>0</v>
      </c>
      <c r="S14" s="1" t="n">
        <f aca="false">COUNTIF(E14:P14,"T")</f>
        <v>0</v>
      </c>
      <c r="T14" s="1" t="n">
        <f aca="false">ROUND(Q14+R14/2*S14/4,0)</f>
        <v>7</v>
      </c>
      <c r="U14" s="5" t="n">
        <f aca="false">ROUND(T14*10/$X$1,0)</f>
        <v>8</v>
      </c>
      <c r="V14" s="1" t="s">
        <v>20</v>
      </c>
      <c r="X14" s="1" t="s">
        <v>20</v>
      </c>
      <c r="Y14" s="1" t="s">
        <v>19</v>
      </c>
      <c r="Z14" s="1" t="s">
        <v>20</v>
      </c>
      <c r="AA14" s="1" t="s">
        <v>19</v>
      </c>
      <c r="AC14" s="1" t="s">
        <v>19</v>
      </c>
      <c r="AD14" s="1" t="s">
        <v>19</v>
      </c>
      <c r="AE14" s="1" t="s">
        <v>20</v>
      </c>
      <c r="AG14" s="3" t="s">
        <v>20</v>
      </c>
      <c r="AH14" s="3" t="s">
        <v>19</v>
      </c>
      <c r="AI14" s="3" t="s">
        <v>19</v>
      </c>
      <c r="AJ14" s="1" t="s">
        <v>19</v>
      </c>
      <c r="AK14" s="3" t="s">
        <v>21</v>
      </c>
      <c r="AL14" s="8" t="n">
        <v>0.583333333333333</v>
      </c>
      <c r="AM14" s="2" t="s">
        <v>19</v>
      </c>
      <c r="AN14" s="2" t="s">
        <v>19</v>
      </c>
      <c r="AP14" s="3" t="n">
        <f aca="false">COUNTIF(V14:AK14,"P")</f>
        <v>7</v>
      </c>
      <c r="AQ14" s="3" t="n">
        <f aca="false">COUNTIF(V14:AK14,"M")</f>
        <v>0</v>
      </c>
      <c r="AR14" s="3" t="n">
        <f aca="false">COUNTIF(V14:AK14,"T")</f>
        <v>1</v>
      </c>
      <c r="AS14" s="3" t="n">
        <f aca="false">COUNTIF(V14:AK14,"A")</f>
        <v>5</v>
      </c>
      <c r="AT14" s="9" t="n">
        <f aca="false">ROUND((AP14+AQ14/2+AR14/4)*10/13,0)</f>
        <v>6</v>
      </c>
      <c r="BB14" s="9"/>
    </row>
    <row r="15" customFormat="false" ht="15" hidden="true" customHeight="false" outlineLevel="0" collapsed="false">
      <c r="A15" s="1" t="n">
        <v>13</v>
      </c>
      <c r="B15" s="3" t="s">
        <v>60</v>
      </c>
      <c r="C15" s="3" t="s">
        <v>61</v>
      </c>
      <c r="D15" s="3" t="s">
        <v>62</v>
      </c>
      <c r="E15" s="1" t="s">
        <v>19</v>
      </c>
      <c r="G15" s="1" t="s">
        <v>19</v>
      </c>
      <c r="I15" s="1" t="s">
        <v>19</v>
      </c>
      <c r="J15" s="1" t="s">
        <v>19</v>
      </c>
      <c r="K15" s="1" t="s">
        <v>19</v>
      </c>
      <c r="L15" s="1" t="s">
        <v>19</v>
      </c>
      <c r="M15" s="1" t="s">
        <v>19</v>
      </c>
      <c r="N15" s="1" t="s">
        <v>19</v>
      </c>
      <c r="P15" s="1" t="s">
        <v>19</v>
      </c>
      <c r="Q15" s="1" t="n">
        <f aca="false">COUNTIF(E15:P15,"P")</f>
        <v>9</v>
      </c>
      <c r="R15" s="1" t="n">
        <f aca="false">COUNTIF(E15:P15,"M")</f>
        <v>0</v>
      </c>
      <c r="S15" s="1" t="n">
        <f aca="false">COUNTIF(E15:P15,"T")</f>
        <v>0</v>
      </c>
      <c r="T15" s="1" t="n">
        <f aca="false">ROUND(Q15+R15/2*S15/4,0)</f>
        <v>9</v>
      </c>
      <c r="U15" s="5" t="n">
        <f aca="false">ROUND(T15*10/$X$1,0)</f>
        <v>10</v>
      </c>
      <c r="V15" s="12" t="s">
        <v>19</v>
      </c>
      <c r="X15" s="1" t="s">
        <v>19</v>
      </c>
      <c r="Y15" s="1" t="s">
        <v>19</v>
      </c>
      <c r="Z15" s="1" t="s">
        <v>19</v>
      </c>
      <c r="AA15" s="1" t="s">
        <v>19</v>
      </c>
      <c r="AC15" s="1" t="s">
        <v>19</v>
      </c>
      <c r="AD15" s="1" t="s">
        <v>19</v>
      </c>
      <c r="AE15" s="1" t="s">
        <v>19</v>
      </c>
      <c r="AG15" s="3" t="s">
        <v>19</v>
      </c>
      <c r="AH15" s="3" t="s">
        <v>19</v>
      </c>
      <c r="AI15" s="3" t="s">
        <v>19</v>
      </c>
      <c r="AJ15" s="1" t="s">
        <v>19</v>
      </c>
      <c r="AK15" s="3" t="s">
        <v>19</v>
      </c>
      <c r="AM15" s="2" t="s">
        <v>19</v>
      </c>
      <c r="AN15" s="2" t="s">
        <v>19</v>
      </c>
      <c r="AP15" s="3" t="n">
        <f aca="false">COUNTIF(V15:AK15,"P")</f>
        <v>13</v>
      </c>
      <c r="AQ15" s="3" t="n">
        <f aca="false">COUNTIF(V15:AK15,"M")</f>
        <v>0</v>
      </c>
      <c r="AR15" s="3" t="n">
        <f aca="false">COUNTIF(V15:AK15,"T")</f>
        <v>0</v>
      </c>
      <c r="AS15" s="3" t="n">
        <f aca="false">COUNTIF(V15:AK15,"A")</f>
        <v>0</v>
      </c>
      <c r="AT15" s="9" t="n">
        <f aca="false">ROUND((AP15+AQ15/2+AR15/4)*10/13,0)</f>
        <v>10</v>
      </c>
      <c r="BB15" s="9"/>
    </row>
    <row r="16" customFormat="false" ht="15" hidden="true" customHeight="false" outlineLevel="0" collapsed="false">
      <c r="A16" s="1" t="n">
        <v>14</v>
      </c>
      <c r="B16" s="3" t="s">
        <v>63</v>
      </c>
      <c r="C16" s="3" t="s">
        <v>64</v>
      </c>
      <c r="D16" s="3" t="s">
        <v>65</v>
      </c>
      <c r="E16" s="1" t="s">
        <v>19</v>
      </c>
      <c r="G16" s="1" t="s">
        <v>19</v>
      </c>
      <c r="I16" s="1" t="s">
        <v>19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19</v>
      </c>
      <c r="P16" s="1" t="s">
        <v>19</v>
      </c>
      <c r="Q16" s="1" t="n">
        <f aca="false">COUNTIF(E16:P16,"P")</f>
        <v>9</v>
      </c>
      <c r="R16" s="1" t="n">
        <f aca="false">COUNTIF(E16:P16,"M")</f>
        <v>0</v>
      </c>
      <c r="S16" s="1" t="n">
        <f aca="false">COUNTIF(E16:P16,"T")</f>
        <v>0</v>
      </c>
      <c r="T16" s="1" t="n">
        <f aca="false">ROUND(Q16+R16/2*S16/4,0)</f>
        <v>9</v>
      </c>
      <c r="U16" s="5" t="n">
        <f aca="false">ROUND(T16*10/$X$1,0)</f>
        <v>10</v>
      </c>
      <c r="V16" s="1" t="s">
        <v>20</v>
      </c>
      <c r="X16" s="1" t="s">
        <v>19</v>
      </c>
      <c r="Y16" s="1" t="s">
        <v>19</v>
      </c>
      <c r="Z16" s="1" t="s">
        <v>19</v>
      </c>
      <c r="AA16" s="1" t="s">
        <v>19</v>
      </c>
      <c r="AC16" s="1" t="s">
        <v>19</v>
      </c>
      <c r="AD16" s="1" t="s">
        <v>19</v>
      </c>
      <c r="AE16" s="1" t="s">
        <v>19</v>
      </c>
      <c r="AG16" s="3" t="s">
        <v>19</v>
      </c>
      <c r="AH16" s="3" t="s">
        <v>19</v>
      </c>
      <c r="AI16" s="3" t="s">
        <v>19</v>
      </c>
      <c r="AJ16" s="1" t="s">
        <v>19</v>
      </c>
      <c r="AK16" s="3" t="s">
        <v>19</v>
      </c>
      <c r="AM16" s="2" t="s">
        <v>19</v>
      </c>
      <c r="AN16" s="2" t="s">
        <v>19</v>
      </c>
      <c r="AP16" s="3" t="n">
        <f aca="false">COUNTIF(V16:AK16,"P")</f>
        <v>12</v>
      </c>
      <c r="AQ16" s="3" t="n">
        <f aca="false">COUNTIF(V16:AK16,"M")</f>
        <v>0</v>
      </c>
      <c r="AR16" s="3" t="n">
        <f aca="false">COUNTIF(V16:AK16,"T")</f>
        <v>0</v>
      </c>
      <c r="AS16" s="3" t="n">
        <f aca="false">COUNTIF(V16:AK16,"A")</f>
        <v>1</v>
      </c>
      <c r="AT16" s="9" t="n">
        <f aca="false">ROUND((AP16+AQ16/2+AR16/4)*10/13,0)</f>
        <v>9</v>
      </c>
      <c r="BB16" s="9"/>
    </row>
    <row r="17" customFormat="false" ht="15" hidden="false" customHeight="false" outlineLevel="0" collapsed="false">
      <c r="A17" s="1" t="n">
        <v>15</v>
      </c>
      <c r="B17" s="3" t="s">
        <v>66</v>
      </c>
      <c r="C17" s="11" t="s">
        <v>67</v>
      </c>
      <c r="D17" s="3" t="s">
        <v>68</v>
      </c>
      <c r="E17" s="1" t="s">
        <v>19</v>
      </c>
      <c r="G17" s="1" t="s">
        <v>20</v>
      </c>
      <c r="I17" s="1" t="s">
        <v>19</v>
      </c>
      <c r="J17" s="1" t="s">
        <v>20</v>
      </c>
      <c r="K17" s="1" t="s">
        <v>19</v>
      </c>
      <c r="L17" s="1" t="s">
        <v>19</v>
      </c>
      <c r="M17" s="1" t="s">
        <v>19</v>
      </c>
      <c r="N17" s="1" t="s">
        <v>20</v>
      </c>
      <c r="P17" s="1" t="s">
        <v>19</v>
      </c>
      <c r="Q17" s="1" t="n">
        <f aca="false">COUNTIF(E17:P17,"P")</f>
        <v>6</v>
      </c>
      <c r="R17" s="1" t="n">
        <f aca="false">COUNTIF(E17:P17,"M")</f>
        <v>0</v>
      </c>
      <c r="S17" s="1" t="n">
        <f aca="false">COUNTIF(E17:P17,"T")</f>
        <v>0</v>
      </c>
      <c r="T17" s="1" t="n">
        <f aca="false">ROUND(Q17+R17/2*S17/4,0)</f>
        <v>6</v>
      </c>
      <c r="U17" s="5" t="n">
        <f aca="false">ROUND(T17*10/$X$1,0)</f>
        <v>7</v>
      </c>
      <c r="V17" s="1" t="s">
        <v>19</v>
      </c>
      <c r="X17" s="1" t="s">
        <v>19</v>
      </c>
      <c r="Y17" s="1" t="s">
        <v>20</v>
      </c>
      <c r="Z17" s="1" t="s">
        <v>19</v>
      </c>
      <c r="AA17" s="1" t="s">
        <v>20</v>
      </c>
      <c r="AC17" s="1" t="s">
        <v>19</v>
      </c>
      <c r="AD17" s="1" t="s">
        <v>20</v>
      </c>
      <c r="AE17" s="1" t="s">
        <v>19</v>
      </c>
      <c r="AG17" s="3" t="s">
        <v>19</v>
      </c>
      <c r="AH17" s="3" t="s">
        <v>19</v>
      </c>
      <c r="AI17" s="3" t="s">
        <v>19</v>
      </c>
      <c r="AJ17" s="1" t="s">
        <v>20</v>
      </c>
      <c r="AK17" s="3" t="s">
        <v>19</v>
      </c>
      <c r="AM17" s="2" t="s">
        <v>19</v>
      </c>
      <c r="AN17" s="2" t="s">
        <v>19</v>
      </c>
      <c r="AP17" s="3" t="n">
        <f aca="false">COUNTIF(V17:AK17,"P")</f>
        <v>9</v>
      </c>
      <c r="AQ17" s="3" t="n">
        <f aca="false">COUNTIF(V17:AK17,"M")</f>
        <v>0</v>
      </c>
      <c r="AR17" s="3" t="n">
        <f aca="false">COUNTIF(V17:AK17,"T")</f>
        <v>0</v>
      </c>
      <c r="AS17" s="3" t="n">
        <f aca="false">COUNTIF(V17:AK17,"A")</f>
        <v>4</v>
      </c>
      <c r="AT17" s="9" t="n">
        <f aca="false">ROUND((AP17+AQ17/2+AR17/4)*10/13,0)</f>
        <v>7</v>
      </c>
      <c r="AV17" s="3" t="s">
        <v>19</v>
      </c>
      <c r="AW17" s="8" t="n">
        <v>0.652777777777778</v>
      </c>
      <c r="AX17" s="3" t="s">
        <v>19</v>
      </c>
      <c r="AY17" s="3" t="n">
        <f aca="false">COUNTIF(AV17:AX17,"P")</f>
        <v>2</v>
      </c>
      <c r="AZ17" s="3" t="n">
        <f aca="false">COUNTIF(AV17:AX17,"M")</f>
        <v>0</v>
      </c>
      <c r="BA17" s="3" t="n">
        <f aca="false">COUNTIF(AV17:AX17,"T")</f>
        <v>0</v>
      </c>
      <c r="BB17" s="9" t="n">
        <f aca="false">ROUND((AY17+AZ17/2+BA17/4)*5,0)</f>
        <v>10</v>
      </c>
    </row>
    <row r="18" customFormat="false" ht="15" hidden="false" customHeight="false" outlineLevel="0" collapsed="false">
      <c r="A18" s="1" t="n">
        <v>16</v>
      </c>
      <c r="B18" s="3" t="s">
        <v>69</v>
      </c>
      <c r="C18" s="11" t="s">
        <v>70</v>
      </c>
      <c r="D18" s="3" t="s">
        <v>71</v>
      </c>
      <c r="E18" s="1" t="s">
        <v>19</v>
      </c>
      <c r="G18" s="1" t="s">
        <v>19</v>
      </c>
      <c r="I18" s="1" t="s">
        <v>19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19</v>
      </c>
      <c r="P18" s="1" t="s">
        <v>19</v>
      </c>
      <c r="Q18" s="1" t="n">
        <f aca="false">COUNTIF(E18:P18,"P")</f>
        <v>9</v>
      </c>
      <c r="R18" s="1" t="n">
        <f aca="false">COUNTIF(E18:P18,"M")</f>
        <v>0</v>
      </c>
      <c r="S18" s="1" t="n">
        <f aca="false">COUNTIF(E18:P18,"T")</f>
        <v>0</v>
      </c>
      <c r="T18" s="1" t="n">
        <f aca="false">ROUND(Q18+R18/2*S18/4,0)</f>
        <v>9</v>
      </c>
      <c r="U18" s="5" t="n">
        <f aca="false">ROUND(T18*10/$X$1,0)</f>
        <v>10</v>
      </c>
      <c r="V18" s="1" t="s">
        <v>20</v>
      </c>
      <c r="X18" s="1" t="s">
        <v>19</v>
      </c>
      <c r="Y18" s="1" t="s">
        <v>19</v>
      </c>
      <c r="Z18" s="1" t="s">
        <v>19</v>
      </c>
      <c r="AA18" s="1" t="s">
        <v>19</v>
      </c>
      <c r="AC18" s="1" t="s">
        <v>19</v>
      </c>
      <c r="AD18" s="1" t="s">
        <v>19</v>
      </c>
      <c r="AE18" s="1" t="s">
        <v>19</v>
      </c>
      <c r="AG18" s="3" t="s">
        <v>19</v>
      </c>
      <c r="AH18" s="3" t="s">
        <v>19</v>
      </c>
      <c r="AI18" s="3" t="s">
        <v>19</v>
      </c>
      <c r="AJ18" s="1" t="s">
        <v>19</v>
      </c>
      <c r="AK18" s="3" t="s">
        <v>20</v>
      </c>
      <c r="AM18" s="2" t="s">
        <v>19</v>
      </c>
      <c r="AN18" s="2" t="s">
        <v>20</v>
      </c>
      <c r="AP18" s="3" t="n">
        <f aca="false">COUNTIF(V18:AK18,"P")</f>
        <v>11</v>
      </c>
      <c r="AQ18" s="3" t="n">
        <f aca="false">COUNTIF(V18:AK18,"M")</f>
        <v>0</v>
      </c>
      <c r="AR18" s="3" t="n">
        <f aca="false">COUNTIF(V18:AK18,"T")</f>
        <v>0</v>
      </c>
      <c r="AS18" s="3" t="n">
        <f aca="false">COUNTIF(V18:AK18,"A")</f>
        <v>2</v>
      </c>
      <c r="AT18" s="9" t="n">
        <f aca="false">ROUND((AP18+AQ18/2+AR18/4)*10/13,0)</f>
        <v>8</v>
      </c>
      <c r="AV18" s="3" t="s">
        <v>20</v>
      </c>
      <c r="AX18" s="3" t="s">
        <v>20</v>
      </c>
      <c r="AY18" s="3" t="n">
        <f aca="false">COUNTIF(AV18:AX18,"P")</f>
        <v>0</v>
      </c>
      <c r="AZ18" s="3" t="n">
        <f aca="false">COUNTIF(AV18:AX18,"M")</f>
        <v>0</v>
      </c>
      <c r="BA18" s="3" t="n">
        <f aca="false">COUNTIF(AV18:AX18,"T")</f>
        <v>0</v>
      </c>
      <c r="BB18" s="9" t="n">
        <f aca="false">ROUND((AY18+AZ18/2+BA18/4)*5,0)</f>
        <v>0</v>
      </c>
    </row>
    <row r="19" customFormat="false" ht="15" hidden="true" customHeight="false" outlineLevel="0" collapsed="false">
      <c r="A19" s="1" t="n">
        <v>17</v>
      </c>
      <c r="B19" s="3" t="s">
        <v>72</v>
      </c>
      <c r="C19" s="3" t="s">
        <v>73</v>
      </c>
      <c r="D19" s="3" t="s">
        <v>74</v>
      </c>
      <c r="E19" s="1" t="s">
        <v>19</v>
      </c>
      <c r="G19" s="1" t="s">
        <v>19</v>
      </c>
      <c r="I19" s="1" t="s">
        <v>19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19</v>
      </c>
      <c r="P19" s="1" t="s">
        <v>20</v>
      </c>
      <c r="Q19" s="1" t="n">
        <f aca="false">COUNTIF(E19:P19,"P")</f>
        <v>8</v>
      </c>
      <c r="R19" s="1" t="n">
        <f aca="false">COUNTIF(E19:P19,"M")</f>
        <v>0</v>
      </c>
      <c r="S19" s="1" t="n">
        <f aca="false">COUNTIF(E19:P19,"T")</f>
        <v>0</v>
      </c>
      <c r="T19" s="1" t="n">
        <f aca="false">ROUND(Q19+R19/2*S19/4,0)</f>
        <v>8</v>
      </c>
      <c r="U19" s="5" t="n">
        <f aca="false">ROUND(T19*10/$X$1,0)</f>
        <v>9</v>
      </c>
      <c r="V19" s="1" t="s">
        <v>20</v>
      </c>
      <c r="X19" s="1" t="s">
        <v>19</v>
      </c>
      <c r="Y19" s="1" t="s">
        <v>19</v>
      </c>
      <c r="Z19" s="1" t="s">
        <v>19</v>
      </c>
      <c r="AA19" s="1" t="s">
        <v>19</v>
      </c>
      <c r="AC19" s="1" t="s">
        <v>19</v>
      </c>
      <c r="AD19" s="1" t="s">
        <v>19</v>
      </c>
      <c r="AE19" s="1" t="s">
        <v>20</v>
      </c>
      <c r="AG19" s="3" t="s">
        <v>20</v>
      </c>
      <c r="AH19" s="3" t="s">
        <v>19</v>
      </c>
      <c r="AI19" s="3" t="s">
        <v>19</v>
      </c>
      <c r="AJ19" s="1" t="s">
        <v>19</v>
      </c>
      <c r="AK19" s="3" t="s">
        <v>19</v>
      </c>
      <c r="AM19" s="2" t="s">
        <v>19</v>
      </c>
      <c r="AN19" s="2" t="s">
        <v>19</v>
      </c>
      <c r="AP19" s="3" t="n">
        <f aca="false">COUNTIF(V19:AK19,"P")</f>
        <v>10</v>
      </c>
      <c r="AQ19" s="3" t="n">
        <f aca="false">COUNTIF(V19:AK19,"M")</f>
        <v>0</v>
      </c>
      <c r="AR19" s="3" t="n">
        <f aca="false">COUNTIF(V19:AK19,"T")</f>
        <v>0</v>
      </c>
      <c r="AS19" s="3" t="n">
        <f aca="false">COUNTIF(V19:AK19,"A")</f>
        <v>3</v>
      </c>
      <c r="AT19" s="9" t="n">
        <f aca="false">ROUND((AP19+AQ19/2+AR19/4)*10/13,0)</f>
        <v>8</v>
      </c>
      <c r="BB19" s="9"/>
    </row>
    <row r="20" customFormat="false" ht="15" hidden="true" customHeight="false" outlineLevel="0" collapsed="false">
      <c r="A20" s="1" t="n">
        <v>18</v>
      </c>
      <c r="B20" s="3" t="s">
        <v>75</v>
      </c>
      <c r="C20" s="3" t="s">
        <v>76</v>
      </c>
      <c r="D20" s="3" t="s">
        <v>77</v>
      </c>
      <c r="E20" s="1" t="s">
        <v>20</v>
      </c>
      <c r="G20" s="1" t="s">
        <v>19</v>
      </c>
      <c r="I20" s="1" t="s">
        <v>19</v>
      </c>
      <c r="J20" s="1" t="s">
        <v>19</v>
      </c>
      <c r="K20" s="1" t="s">
        <v>19</v>
      </c>
      <c r="L20" s="1" t="s">
        <v>19</v>
      </c>
      <c r="M20" s="1" t="s">
        <v>20</v>
      </c>
      <c r="N20" s="1" t="s">
        <v>20</v>
      </c>
      <c r="P20" s="1" t="s">
        <v>20</v>
      </c>
      <c r="Q20" s="1" t="n">
        <f aca="false">COUNTIF(E20:P20,"P")</f>
        <v>5</v>
      </c>
      <c r="R20" s="1" t="n">
        <f aca="false">COUNTIF(E20:P20,"M")</f>
        <v>0</v>
      </c>
      <c r="S20" s="1" t="n">
        <f aca="false">COUNTIF(E20:P20,"T")</f>
        <v>0</v>
      </c>
      <c r="T20" s="1" t="n">
        <f aca="false">ROUND(Q20+R20/2*S20/4,0)</f>
        <v>5</v>
      </c>
      <c r="U20" s="5" t="n">
        <f aca="false">ROUND(T20*10/$X$1,0)</f>
        <v>6</v>
      </c>
      <c r="V20" s="1" t="s">
        <v>19</v>
      </c>
      <c r="X20" s="1" t="s">
        <v>19</v>
      </c>
      <c r="Y20" s="1" t="s">
        <v>19</v>
      </c>
      <c r="Z20" s="1" t="s">
        <v>19</v>
      </c>
      <c r="AA20" s="1" t="s">
        <v>19</v>
      </c>
      <c r="AC20" s="1" t="s">
        <v>19</v>
      </c>
      <c r="AD20" s="1" t="s">
        <v>19</v>
      </c>
      <c r="AE20" s="1" t="s">
        <v>32</v>
      </c>
      <c r="AF20" s="8" t="n">
        <v>0.583333333333333</v>
      </c>
      <c r="AG20" s="3" t="s">
        <v>19</v>
      </c>
      <c r="AH20" s="3" t="s">
        <v>19</v>
      </c>
      <c r="AI20" s="3" t="s">
        <v>19</v>
      </c>
      <c r="AJ20" s="1" t="s">
        <v>19</v>
      </c>
      <c r="AK20" s="3" t="s">
        <v>19</v>
      </c>
      <c r="AM20" s="2" t="s">
        <v>19</v>
      </c>
      <c r="AN20" s="2" t="s">
        <v>19</v>
      </c>
      <c r="AP20" s="3" t="n">
        <f aca="false">COUNTIF(V20:AK20,"P")</f>
        <v>12</v>
      </c>
      <c r="AQ20" s="3" t="n">
        <f aca="false">COUNTIF(V20:AK20,"M")</f>
        <v>1</v>
      </c>
      <c r="AR20" s="3" t="n">
        <f aca="false">COUNTIF(V20:AK20,"T")</f>
        <v>0</v>
      </c>
      <c r="AS20" s="3" t="n">
        <f aca="false">COUNTIF(V20:AK20,"A")</f>
        <v>0</v>
      </c>
      <c r="AT20" s="9" t="n">
        <f aca="false">ROUND((AP20+AQ20/2+AR20/4)*10/13,0)</f>
        <v>10</v>
      </c>
      <c r="BB20" s="9"/>
    </row>
    <row r="21" s="1" customFormat="true" ht="15" hidden="true" customHeight="false" outlineLevel="0" collapsed="false">
      <c r="A21" s="1" t="n">
        <v>19</v>
      </c>
      <c r="B21" s="3" t="s">
        <v>78</v>
      </c>
      <c r="C21" s="3" t="s">
        <v>79</v>
      </c>
      <c r="D21" s="3" t="s">
        <v>80</v>
      </c>
      <c r="E21" s="1" t="s">
        <v>19</v>
      </c>
      <c r="G21" s="1" t="s">
        <v>19</v>
      </c>
      <c r="I21" s="1" t="s">
        <v>19</v>
      </c>
      <c r="J21" s="1" t="s">
        <v>19</v>
      </c>
      <c r="K21" s="1" t="s">
        <v>19</v>
      </c>
      <c r="L21" s="1" t="s">
        <v>19</v>
      </c>
      <c r="M21" s="1" t="s">
        <v>19</v>
      </c>
      <c r="N21" s="1" t="s">
        <v>19</v>
      </c>
      <c r="P21" s="1" t="s">
        <v>19</v>
      </c>
      <c r="Q21" s="1" t="n">
        <f aca="false">COUNTIF(E21:P21,"P")</f>
        <v>9</v>
      </c>
      <c r="R21" s="1" t="n">
        <f aca="false">COUNTIF(E21:P21,"M")</f>
        <v>0</v>
      </c>
      <c r="S21" s="1" t="n">
        <f aca="false">COUNTIF(E21:P21,"T")</f>
        <v>0</v>
      </c>
      <c r="T21" s="1" t="n">
        <f aca="false">ROUND(Q21+R21/2*S21/4,0)</f>
        <v>9</v>
      </c>
      <c r="U21" s="5" t="n">
        <f aca="false">ROUND(T21*10/$X$1,0)</f>
        <v>10</v>
      </c>
      <c r="V21" s="1" t="s">
        <v>19</v>
      </c>
      <c r="W21" s="1" t="s">
        <v>81</v>
      </c>
      <c r="X21" s="1" t="s">
        <v>19</v>
      </c>
      <c r="Y21" s="1" t="s">
        <v>19</v>
      </c>
      <c r="Z21" s="1" t="s">
        <v>19</v>
      </c>
      <c r="AA21" s="1" t="s">
        <v>19</v>
      </c>
      <c r="AC21" s="1" t="s">
        <v>19</v>
      </c>
      <c r="AD21" s="1" t="s">
        <v>19</v>
      </c>
      <c r="AE21" s="1" t="s">
        <v>19</v>
      </c>
      <c r="AG21" s="3" t="s">
        <v>19</v>
      </c>
      <c r="AH21" s="3" t="s">
        <v>19</v>
      </c>
      <c r="AI21" s="3" t="s">
        <v>19</v>
      </c>
      <c r="AJ21" s="1" t="s">
        <v>19</v>
      </c>
      <c r="AK21" s="3" t="s">
        <v>19</v>
      </c>
      <c r="AM21" s="1" t="s">
        <v>19</v>
      </c>
      <c r="AN21" s="1" t="s">
        <v>21</v>
      </c>
      <c r="AO21" s="8" t="n">
        <v>0.645833333333333</v>
      </c>
      <c r="AP21" s="1" t="n">
        <f aca="false">COUNTIF(V21:AK21,"P")</f>
        <v>13</v>
      </c>
      <c r="AQ21" s="1" t="n">
        <f aca="false">COUNTIF(V21:AK21,"M")</f>
        <v>0</v>
      </c>
      <c r="AR21" s="1" t="n">
        <f aca="false">COUNTIF(V21:AK21,"T")</f>
        <v>0</v>
      </c>
      <c r="AS21" s="1" t="n">
        <f aca="false">COUNTIF(V21:AK21,"A")</f>
        <v>0</v>
      </c>
      <c r="AT21" s="9" t="n">
        <f aca="false">ROUND((AP21+AQ21/2+AR21/4)*10/13,0)</f>
        <v>10</v>
      </c>
      <c r="AU21" s="1" t="s">
        <v>82</v>
      </c>
      <c r="BB21" s="9"/>
    </row>
    <row r="22" customFormat="false" ht="15" hidden="false" customHeight="false" outlineLevel="0" collapsed="false">
      <c r="A22" s="1" t="n">
        <v>20</v>
      </c>
      <c r="B22" s="3" t="s">
        <v>83</v>
      </c>
      <c r="C22" s="11" t="s">
        <v>84</v>
      </c>
      <c r="D22" s="3" t="s">
        <v>85</v>
      </c>
      <c r="E22" s="1" t="s">
        <v>19</v>
      </c>
      <c r="G22" s="1" t="s">
        <v>20</v>
      </c>
      <c r="I22" s="1" t="s">
        <v>19</v>
      </c>
      <c r="J22" s="1" t="s">
        <v>19</v>
      </c>
      <c r="K22" s="1" t="s">
        <v>19</v>
      </c>
      <c r="L22" s="1" t="s">
        <v>19</v>
      </c>
      <c r="M22" s="1" t="s">
        <v>19</v>
      </c>
      <c r="N22" s="1" t="s">
        <v>19</v>
      </c>
      <c r="P22" s="1" t="s">
        <v>19</v>
      </c>
      <c r="Q22" s="1" t="n">
        <f aca="false">COUNTIF(E22:P22,"P")</f>
        <v>8</v>
      </c>
      <c r="R22" s="1" t="n">
        <f aca="false">COUNTIF(E22:P22,"M")</f>
        <v>0</v>
      </c>
      <c r="S22" s="1" t="n">
        <f aca="false">COUNTIF(E22:P22,"T")</f>
        <v>0</v>
      </c>
      <c r="T22" s="1" t="n">
        <f aca="false">ROUND(Q22+R22/2*S22/4,0)</f>
        <v>8</v>
      </c>
      <c r="U22" s="5" t="n">
        <f aca="false">ROUND(T22*10/$X$1,0)</f>
        <v>9</v>
      </c>
      <c r="V22" s="1" t="s">
        <v>20</v>
      </c>
      <c r="X22" s="1" t="s">
        <v>19</v>
      </c>
      <c r="Y22" s="1" t="s">
        <v>19</v>
      </c>
      <c r="Z22" s="1" t="s">
        <v>19</v>
      </c>
      <c r="AA22" s="1" t="s">
        <v>19</v>
      </c>
      <c r="AC22" s="1" t="s">
        <v>19</v>
      </c>
      <c r="AD22" s="1" t="s">
        <v>20</v>
      </c>
      <c r="AE22" s="1" t="s">
        <v>20</v>
      </c>
      <c r="AG22" s="3" t="s">
        <v>19</v>
      </c>
      <c r="AH22" s="3" t="s">
        <v>20</v>
      </c>
      <c r="AI22" s="3" t="s">
        <v>19</v>
      </c>
      <c r="AJ22" s="1" t="s">
        <v>20</v>
      </c>
      <c r="AK22" s="3" t="s">
        <v>19</v>
      </c>
      <c r="AM22" s="2" t="s">
        <v>19</v>
      </c>
      <c r="AN22" s="2" t="s">
        <v>21</v>
      </c>
      <c r="AO22" s="8" t="n">
        <v>0.645833333333333</v>
      </c>
      <c r="AP22" s="3" t="n">
        <f aca="false">COUNTIF(V22:AK22,"P")</f>
        <v>8</v>
      </c>
      <c r="AQ22" s="3" t="n">
        <f aca="false">COUNTIF(V22:AK22,"M")</f>
        <v>0</v>
      </c>
      <c r="AR22" s="3" t="n">
        <f aca="false">COUNTIF(V22:AK22,"T")</f>
        <v>0</v>
      </c>
      <c r="AS22" s="3" t="n">
        <f aca="false">COUNTIF(V22:AK22,"A")</f>
        <v>5</v>
      </c>
      <c r="AT22" s="9" t="n">
        <f aca="false">ROUND((AP22+AQ22/2+AR22/4)*10/13,0)</f>
        <v>6</v>
      </c>
      <c r="AV22" s="3" t="s">
        <v>20</v>
      </c>
      <c r="AX22" s="3" t="s">
        <v>20</v>
      </c>
      <c r="AY22" s="3" t="n">
        <f aca="false">COUNTIF(AV22:AX22,"P")</f>
        <v>0</v>
      </c>
      <c r="AZ22" s="3" t="n">
        <f aca="false">COUNTIF(AV22:AX22,"M")</f>
        <v>0</v>
      </c>
      <c r="BA22" s="3" t="n">
        <f aca="false">COUNTIF(AV22:AX22,"T")</f>
        <v>0</v>
      </c>
      <c r="BB22" s="9" t="n">
        <f aca="false">ROUND((AY22+AZ22/2+BA22/4)*5,0)</f>
        <v>0</v>
      </c>
    </row>
    <row r="23" customFormat="false" ht="15" hidden="true" customHeight="false" outlineLevel="0" collapsed="false">
      <c r="A23" s="1" t="n">
        <v>21</v>
      </c>
      <c r="B23" s="3" t="s">
        <v>86</v>
      </c>
      <c r="C23" s="3" t="s">
        <v>87</v>
      </c>
      <c r="D23" s="3" t="s">
        <v>88</v>
      </c>
      <c r="E23" s="1" t="s">
        <v>19</v>
      </c>
      <c r="G23" s="1" t="s">
        <v>19</v>
      </c>
      <c r="I23" s="1" t="s">
        <v>19</v>
      </c>
      <c r="J23" s="1" t="s">
        <v>19</v>
      </c>
      <c r="K23" s="1" t="s">
        <v>20</v>
      </c>
      <c r="L23" s="1" t="s">
        <v>19</v>
      </c>
      <c r="M23" s="1" t="s">
        <v>19</v>
      </c>
      <c r="N23" s="1" t="s">
        <v>19</v>
      </c>
      <c r="P23" s="1" t="s">
        <v>19</v>
      </c>
      <c r="Q23" s="1" t="n">
        <f aca="false">COUNTIF(E23:P23,"P")</f>
        <v>8</v>
      </c>
      <c r="R23" s="1" t="n">
        <f aca="false">COUNTIF(E23:P23,"M")</f>
        <v>0</v>
      </c>
      <c r="S23" s="1" t="n">
        <f aca="false">COUNTIF(E23:P23,"T")</f>
        <v>0</v>
      </c>
      <c r="T23" s="1" t="n">
        <f aca="false">ROUND(Q23+R23/2*S23/4,0)</f>
        <v>8</v>
      </c>
      <c r="U23" s="5" t="n">
        <f aca="false">ROUND(T23*10/$X$1,0)</f>
        <v>9</v>
      </c>
      <c r="V23" s="1" t="s">
        <v>20</v>
      </c>
      <c r="X23" s="1" t="s">
        <v>19</v>
      </c>
      <c r="Y23" s="1" t="s">
        <v>19</v>
      </c>
      <c r="Z23" s="1" t="s">
        <v>19</v>
      </c>
      <c r="AA23" s="1" t="s">
        <v>20</v>
      </c>
      <c r="AC23" s="1" t="s">
        <v>19</v>
      </c>
      <c r="AD23" s="1" t="s">
        <v>19</v>
      </c>
      <c r="AE23" s="1" t="s">
        <v>19</v>
      </c>
      <c r="AG23" s="3" t="s">
        <v>19</v>
      </c>
      <c r="AH23" s="3" t="s">
        <v>19</v>
      </c>
      <c r="AI23" s="3" t="s">
        <v>19</v>
      </c>
      <c r="AJ23" s="1" t="s">
        <v>19</v>
      </c>
      <c r="AK23" s="3" t="s">
        <v>19</v>
      </c>
      <c r="AM23" s="2" t="s">
        <v>19</v>
      </c>
      <c r="AN23" s="2" t="s">
        <v>19</v>
      </c>
      <c r="AP23" s="3" t="n">
        <f aca="false">COUNTIF(V23:AK23,"P")</f>
        <v>11</v>
      </c>
      <c r="AQ23" s="3" t="n">
        <f aca="false">COUNTIF(V23:AK23,"M")</f>
        <v>0</v>
      </c>
      <c r="AR23" s="3" t="n">
        <f aca="false">COUNTIF(V23:AK23,"T")</f>
        <v>0</v>
      </c>
      <c r="AS23" s="3" t="n">
        <f aca="false">COUNTIF(V23:AK23,"A")</f>
        <v>2</v>
      </c>
      <c r="AT23" s="9" t="n">
        <f aca="false">ROUND((AP23+AQ23/2+AR23/4)*10/13,0)</f>
        <v>8</v>
      </c>
      <c r="BB23" s="9"/>
    </row>
    <row r="24" customFormat="false" ht="15" hidden="true" customHeight="false" outlineLevel="0" collapsed="false">
      <c r="A24" s="1" t="n">
        <v>22</v>
      </c>
      <c r="B24" s="3" t="s">
        <v>89</v>
      </c>
      <c r="C24" s="3" t="s">
        <v>90</v>
      </c>
      <c r="D24" s="3" t="s">
        <v>91</v>
      </c>
      <c r="E24" s="1" t="s">
        <v>19</v>
      </c>
      <c r="G24" s="1" t="s">
        <v>19</v>
      </c>
      <c r="I24" s="1" t="s">
        <v>19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19</v>
      </c>
      <c r="P24" s="1" t="s">
        <v>19</v>
      </c>
      <c r="Q24" s="1" t="n">
        <f aca="false">COUNTIF(E24:P24,"P")</f>
        <v>9</v>
      </c>
      <c r="R24" s="1" t="n">
        <f aca="false">COUNTIF(E24:P24,"M")</f>
        <v>0</v>
      </c>
      <c r="S24" s="1" t="n">
        <f aca="false">COUNTIF(E24:P24,"T")</f>
        <v>0</v>
      </c>
      <c r="T24" s="1" t="n">
        <f aca="false">ROUND(Q24+R24/2*S24/4,0)</f>
        <v>9</v>
      </c>
      <c r="U24" s="5" t="n">
        <f aca="false">ROUND(T24*10/$X$1,0)</f>
        <v>10</v>
      </c>
      <c r="V24" s="1" t="s">
        <v>19</v>
      </c>
      <c r="X24" s="1" t="s">
        <v>19</v>
      </c>
      <c r="Y24" s="1" t="s">
        <v>19</v>
      </c>
      <c r="Z24" s="1" t="s">
        <v>19</v>
      </c>
      <c r="AA24" s="1" t="s">
        <v>19</v>
      </c>
      <c r="AC24" s="1" t="s">
        <v>19</v>
      </c>
      <c r="AD24" s="1" t="s">
        <v>19</v>
      </c>
      <c r="AE24" s="1" t="s">
        <v>19</v>
      </c>
      <c r="AG24" s="3" t="s">
        <v>19</v>
      </c>
      <c r="AH24" s="3" t="s">
        <v>19</v>
      </c>
      <c r="AI24" s="3" t="s">
        <v>19</v>
      </c>
      <c r="AJ24" s="1" t="s">
        <v>19</v>
      </c>
      <c r="AK24" s="3" t="s">
        <v>19</v>
      </c>
      <c r="AM24" s="2" t="s">
        <v>19</v>
      </c>
      <c r="AN24" s="2" t="s">
        <v>20</v>
      </c>
      <c r="AP24" s="3" t="n">
        <f aca="false">COUNTIF(V24:AK24,"P")</f>
        <v>13</v>
      </c>
      <c r="AQ24" s="3" t="n">
        <f aca="false">COUNTIF(V24:AK24,"M")</f>
        <v>0</v>
      </c>
      <c r="AR24" s="3" t="n">
        <f aca="false">COUNTIF(V24:AK24,"T")</f>
        <v>0</v>
      </c>
      <c r="AS24" s="3" t="n">
        <f aca="false">COUNTIF(V24:AK24,"A")</f>
        <v>0</v>
      </c>
      <c r="AT24" s="9" t="n">
        <f aca="false">ROUND((AP24+AQ24/2+AR24/4)*10/13,0)</f>
        <v>10</v>
      </c>
      <c r="BB24" s="9"/>
    </row>
    <row r="25" customFormat="false" ht="15" hidden="true" customHeight="false" outlineLevel="0" collapsed="false">
      <c r="A25" s="1" t="n">
        <v>23</v>
      </c>
      <c r="B25" s="3" t="s">
        <v>92</v>
      </c>
      <c r="C25" s="3" t="s">
        <v>93</v>
      </c>
      <c r="D25" s="3" t="s">
        <v>94</v>
      </c>
      <c r="E25" s="1" t="s">
        <v>19</v>
      </c>
      <c r="G25" s="1" t="s">
        <v>19</v>
      </c>
      <c r="I25" s="1" t="s">
        <v>19</v>
      </c>
      <c r="J25" s="1" t="s">
        <v>19</v>
      </c>
      <c r="K25" s="1" t="s">
        <v>19</v>
      </c>
      <c r="L25" s="1" t="s">
        <v>19</v>
      </c>
      <c r="M25" s="1" t="s">
        <v>19</v>
      </c>
      <c r="N25" s="1" t="s">
        <v>19</v>
      </c>
      <c r="P25" s="1" t="s">
        <v>19</v>
      </c>
      <c r="Q25" s="1" t="n">
        <f aca="false">COUNTIF(E25:P25,"P")</f>
        <v>9</v>
      </c>
      <c r="R25" s="1" t="n">
        <f aca="false">COUNTIF(E25:P25,"M")</f>
        <v>0</v>
      </c>
      <c r="S25" s="1" t="n">
        <f aca="false">COUNTIF(E25:P25,"T")</f>
        <v>0</v>
      </c>
      <c r="T25" s="1" t="n">
        <f aca="false">ROUND(Q25+R25/2*S25/4,0)</f>
        <v>9</v>
      </c>
      <c r="U25" s="5" t="n">
        <f aca="false">ROUND(T25*10/$X$1,0)</f>
        <v>10</v>
      </c>
      <c r="V25" s="1" t="s">
        <v>20</v>
      </c>
      <c r="X25" s="1" t="s">
        <v>20</v>
      </c>
      <c r="Y25" s="1" t="s">
        <v>19</v>
      </c>
      <c r="Z25" s="1" t="s">
        <v>19</v>
      </c>
      <c r="AA25" s="1" t="s">
        <v>19</v>
      </c>
      <c r="AC25" s="1" t="s">
        <v>19</v>
      </c>
      <c r="AD25" s="1" t="s">
        <v>19</v>
      </c>
      <c r="AE25" s="1" t="s">
        <v>19</v>
      </c>
      <c r="AG25" s="3" t="s">
        <v>19</v>
      </c>
      <c r="AH25" s="3" t="s">
        <v>19</v>
      </c>
      <c r="AI25" s="3" t="s">
        <v>19</v>
      </c>
      <c r="AJ25" s="1" t="s">
        <v>19</v>
      </c>
      <c r="AK25" s="3" t="s">
        <v>19</v>
      </c>
      <c r="AM25" s="2" t="s">
        <v>19</v>
      </c>
      <c r="AN25" s="2" t="s">
        <v>19</v>
      </c>
      <c r="AP25" s="3" t="n">
        <f aca="false">COUNTIF(V25:AK25,"P")</f>
        <v>11</v>
      </c>
      <c r="AQ25" s="3" t="n">
        <f aca="false">COUNTIF(V25:AK25,"M")</f>
        <v>0</v>
      </c>
      <c r="AR25" s="3" t="n">
        <f aca="false">COUNTIF(V25:AK25,"T")</f>
        <v>0</v>
      </c>
      <c r="AS25" s="3" t="n">
        <f aca="false">COUNTIF(V25:AK25,"A")</f>
        <v>2</v>
      </c>
      <c r="AT25" s="9" t="n">
        <f aca="false">ROUND((AP25+AQ25/2+AR25/4)*10/13,0)</f>
        <v>8</v>
      </c>
      <c r="BB25" s="9"/>
    </row>
    <row r="26" customFormat="false" ht="15" hidden="true" customHeight="false" outlineLevel="0" collapsed="false">
      <c r="A26" s="1" t="n">
        <v>24</v>
      </c>
      <c r="B26" s="3" t="s">
        <v>95</v>
      </c>
      <c r="C26" s="3" t="s">
        <v>96</v>
      </c>
      <c r="D26" s="3" t="s">
        <v>97</v>
      </c>
      <c r="E26" s="1" t="s">
        <v>19</v>
      </c>
      <c r="G26" s="1" t="s">
        <v>19</v>
      </c>
      <c r="I26" s="1" t="s">
        <v>19</v>
      </c>
      <c r="J26" s="1" t="s">
        <v>19</v>
      </c>
      <c r="K26" s="1" t="s">
        <v>19</v>
      </c>
      <c r="L26" s="1" t="s">
        <v>19</v>
      </c>
      <c r="M26" s="1" t="s">
        <v>19</v>
      </c>
      <c r="N26" s="1" t="s">
        <v>19</v>
      </c>
      <c r="P26" s="1" t="s">
        <v>19</v>
      </c>
      <c r="Q26" s="1" t="n">
        <f aca="false">COUNTIF(E26:P26,"P")</f>
        <v>9</v>
      </c>
      <c r="R26" s="1" t="n">
        <f aca="false">COUNTIF(E26:P26,"M")</f>
        <v>0</v>
      </c>
      <c r="S26" s="1" t="n">
        <f aca="false">COUNTIF(E26:P26,"T")</f>
        <v>0</v>
      </c>
      <c r="T26" s="1" t="n">
        <f aca="false">ROUND(Q26+R26/2*S26/4,0)</f>
        <v>9</v>
      </c>
      <c r="U26" s="5" t="n">
        <f aca="false">ROUND(T26*10/$X$1,0)</f>
        <v>10</v>
      </c>
      <c r="V26" s="1" t="s">
        <v>19</v>
      </c>
      <c r="X26" s="1" t="s">
        <v>19</v>
      </c>
      <c r="Y26" s="1" t="s">
        <v>19</v>
      </c>
      <c r="Z26" s="1" t="s">
        <v>19</v>
      </c>
      <c r="AA26" s="12" t="s">
        <v>19</v>
      </c>
      <c r="AC26" s="1" t="s">
        <v>19</v>
      </c>
      <c r="AD26" s="1" t="s">
        <v>19</v>
      </c>
      <c r="AE26" s="1" t="s">
        <v>19</v>
      </c>
      <c r="AG26" s="3" t="s">
        <v>19</v>
      </c>
      <c r="AH26" s="3" t="s">
        <v>19</v>
      </c>
      <c r="AI26" s="3" t="s">
        <v>19</v>
      </c>
      <c r="AJ26" s="1" t="s">
        <v>19</v>
      </c>
      <c r="AK26" s="12" t="s">
        <v>19</v>
      </c>
      <c r="AM26" s="2" t="s">
        <v>19</v>
      </c>
      <c r="AN26" s="2" t="s">
        <v>19</v>
      </c>
      <c r="AP26" s="3" t="n">
        <f aca="false">COUNTIF(V26:AK26,"P")</f>
        <v>13</v>
      </c>
      <c r="AQ26" s="3" t="n">
        <f aca="false">COUNTIF(V26:AK26,"M")</f>
        <v>0</v>
      </c>
      <c r="AR26" s="3" t="n">
        <f aca="false">COUNTIF(V26:AK26,"T")</f>
        <v>0</v>
      </c>
      <c r="AS26" s="3" t="n">
        <f aca="false">COUNTIF(V26:AK26,"A")</f>
        <v>0</v>
      </c>
      <c r="AT26" s="9" t="n">
        <f aca="false">ROUND((AP26+AQ26/2+AR26/4)*10/13,0)</f>
        <v>10</v>
      </c>
      <c r="BB26" s="9"/>
    </row>
    <row r="27" customFormat="false" ht="15" hidden="true" customHeight="false" outlineLevel="0" collapsed="false">
      <c r="A27" s="1" t="n">
        <v>25</v>
      </c>
      <c r="B27" s="3" t="s">
        <v>98</v>
      </c>
      <c r="C27" s="3" t="s">
        <v>99</v>
      </c>
      <c r="D27" s="3" t="s">
        <v>100</v>
      </c>
      <c r="E27" s="1" t="s">
        <v>19</v>
      </c>
      <c r="G27" s="1" t="s">
        <v>19</v>
      </c>
      <c r="I27" s="1" t="s">
        <v>19</v>
      </c>
      <c r="J27" s="1" t="s">
        <v>19</v>
      </c>
      <c r="K27" s="1" t="s">
        <v>19</v>
      </c>
      <c r="L27" s="1" t="s">
        <v>19</v>
      </c>
      <c r="M27" s="1" t="s">
        <v>19</v>
      </c>
      <c r="N27" s="1" t="s">
        <v>20</v>
      </c>
      <c r="P27" s="1" t="s">
        <v>19</v>
      </c>
      <c r="Q27" s="1" t="n">
        <f aca="false">COUNTIF(E27:P27,"P")</f>
        <v>8</v>
      </c>
      <c r="R27" s="1" t="n">
        <f aca="false">COUNTIF(E27:P27,"M")</f>
        <v>0</v>
      </c>
      <c r="S27" s="1" t="n">
        <f aca="false">COUNTIF(E27:P27,"T")</f>
        <v>0</v>
      </c>
      <c r="T27" s="1" t="n">
        <f aca="false">ROUND(Q27+R27/2*S27/4,0)</f>
        <v>8</v>
      </c>
      <c r="U27" s="5" t="n">
        <f aca="false">ROUND(T27*10/$X$1,0)</f>
        <v>9</v>
      </c>
      <c r="V27" s="1" t="s">
        <v>19</v>
      </c>
      <c r="X27" s="1" t="s">
        <v>19</v>
      </c>
      <c r="Y27" s="1" t="s">
        <v>19</v>
      </c>
      <c r="Z27" s="1" t="s">
        <v>19</v>
      </c>
      <c r="AA27" s="1" t="s">
        <v>20</v>
      </c>
      <c r="AC27" s="1" t="s">
        <v>20</v>
      </c>
      <c r="AD27" s="1" t="s">
        <v>19</v>
      </c>
      <c r="AE27" s="1" t="s">
        <v>19</v>
      </c>
      <c r="AG27" s="3" t="s">
        <v>19</v>
      </c>
      <c r="AH27" s="3" t="s">
        <v>19</v>
      </c>
      <c r="AI27" s="3" t="s">
        <v>19</v>
      </c>
      <c r="AJ27" s="1" t="s">
        <v>19</v>
      </c>
      <c r="AK27" s="3" t="s">
        <v>19</v>
      </c>
      <c r="AM27" s="2" t="s">
        <v>19</v>
      </c>
      <c r="AN27" s="2" t="s">
        <v>19</v>
      </c>
      <c r="AP27" s="3" t="n">
        <f aca="false">COUNTIF(V27:AK27,"P")</f>
        <v>11</v>
      </c>
      <c r="AQ27" s="3" t="n">
        <f aca="false">COUNTIF(V27:AK27,"M")</f>
        <v>0</v>
      </c>
      <c r="AR27" s="3" t="n">
        <f aca="false">COUNTIF(V27:AK27,"T")</f>
        <v>0</v>
      </c>
      <c r="AS27" s="3" t="n">
        <f aca="false">COUNTIF(V27:AK27,"A")</f>
        <v>2</v>
      </c>
      <c r="AT27" s="9" t="n">
        <f aca="false">ROUND((AP27+AQ27/2+AR27/4)*10/13,0)</f>
        <v>8</v>
      </c>
      <c r="BB27" s="9"/>
    </row>
    <row r="28" customFormat="false" ht="15" hidden="false" customHeight="false" outlineLevel="0" collapsed="false">
      <c r="A28" s="1" t="n">
        <v>26</v>
      </c>
      <c r="B28" s="3" t="s">
        <v>101</v>
      </c>
      <c r="C28" s="13" t="s">
        <v>102</v>
      </c>
      <c r="D28" s="3" t="s">
        <v>103</v>
      </c>
      <c r="E28" s="1" t="s">
        <v>19</v>
      </c>
      <c r="G28" s="1" t="s">
        <v>20</v>
      </c>
      <c r="I28" s="1" t="s">
        <v>19</v>
      </c>
      <c r="J28" s="1" t="s">
        <v>20</v>
      </c>
      <c r="K28" s="1" t="s">
        <v>19</v>
      </c>
      <c r="L28" s="1" t="s">
        <v>20</v>
      </c>
      <c r="M28" s="1" t="s">
        <v>19</v>
      </c>
      <c r="N28" s="1" t="s">
        <v>19</v>
      </c>
      <c r="P28" s="1" t="s">
        <v>20</v>
      </c>
      <c r="Q28" s="1" t="n">
        <f aca="false">COUNTIF(E28:P28,"P")</f>
        <v>5</v>
      </c>
      <c r="R28" s="1" t="n">
        <f aca="false">COUNTIF(E28:P28,"M")</f>
        <v>0</v>
      </c>
      <c r="S28" s="1" t="n">
        <f aca="false">COUNTIF(E28:P28,"T")</f>
        <v>0</v>
      </c>
      <c r="T28" s="1" t="n">
        <f aca="false">ROUND(Q28+R28/2*S28/4,0)</f>
        <v>5</v>
      </c>
      <c r="U28" s="5" t="n">
        <f aca="false">ROUND(T28*10/$X$1,0)</f>
        <v>6</v>
      </c>
      <c r="V28" s="1" t="s">
        <v>19</v>
      </c>
      <c r="X28" s="1" t="s">
        <v>19</v>
      </c>
      <c r="Y28" s="1" t="s">
        <v>19</v>
      </c>
      <c r="Z28" s="1" t="s">
        <v>19</v>
      </c>
      <c r="AA28" s="1" t="s">
        <v>19</v>
      </c>
      <c r="AC28" s="1" t="s">
        <v>19</v>
      </c>
      <c r="AD28" s="1" t="s">
        <v>19</v>
      </c>
      <c r="AE28" s="1" t="s">
        <v>20</v>
      </c>
      <c r="AG28" s="3" t="s">
        <v>19</v>
      </c>
      <c r="AH28" s="3" t="s">
        <v>21</v>
      </c>
      <c r="AI28" s="3" t="s">
        <v>20</v>
      </c>
      <c r="AJ28" s="1" t="s">
        <v>19</v>
      </c>
      <c r="AK28" s="3" t="s">
        <v>19</v>
      </c>
      <c r="AM28" s="2" t="s">
        <v>19</v>
      </c>
      <c r="AN28" s="2" t="s">
        <v>20</v>
      </c>
      <c r="AP28" s="3" t="n">
        <f aca="false">COUNTIF(V28:AK28,"P")</f>
        <v>10</v>
      </c>
      <c r="AQ28" s="3" t="n">
        <f aca="false">COUNTIF(V28:AK28,"M")</f>
        <v>0</v>
      </c>
      <c r="AR28" s="3" t="n">
        <f aca="false">COUNTIF(V28:AK28,"T")</f>
        <v>1</v>
      </c>
      <c r="AS28" s="3" t="n">
        <f aca="false">COUNTIF(V28:AK28,"A")</f>
        <v>2</v>
      </c>
      <c r="AT28" s="9" t="n">
        <f aca="false">ROUND((AP28+AQ28/2+AR28/4)*10/13,0)</f>
        <v>8</v>
      </c>
      <c r="AV28" s="3" t="s">
        <v>19</v>
      </c>
      <c r="AW28" s="8" t="n">
        <v>0.659722222222222</v>
      </c>
      <c r="AX28" s="3" t="s">
        <v>19</v>
      </c>
      <c r="AY28" s="3" t="n">
        <f aca="false">COUNTIF(AV28:AX28,"P")</f>
        <v>2</v>
      </c>
      <c r="AZ28" s="3" t="n">
        <f aca="false">COUNTIF(AV28:AX28,"M")</f>
        <v>0</v>
      </c>
      <c r="BA28" s="3" t="n">
        <f aca="false">COUNTIF(AV28:AX28,"T")</f>
        <v>0</v>
      </c>
      <c r="BB28" s="9" t="n">
        <f aca="false">ROUND((AY28+AZ28/2+BA28/4)*5,0)</f>
        <v>10</v>
      </c>
    </row>
    <row r="29" customFormat="false" ht="15" hidden="false" customHeight="false" outlineLevel="0" collapsed="false">
      <c r="C29" s="1" t="s">
        <v>104</v>
      </c>
      <c r="E29" s="1" t="n">
        <f aca="false">COUNTIF(E3:E28,"p")</f>
        <v>23</v>
      </c>
      <c r="G29" s="1" t="n">
        <f aca="false">COUNTIF(G3:G28,"p")</f>
        <v>22</v>
      </c>
      <c r="I29" s="1" t="n">
        <f aca="false">COUNTIF(I3:I28,"p")</f>
        <v>26</v>
      </c>
      <c r="J29" s="1" t="n">
        <f aca="false">COUNTIF(J3:J28,"p")</f>
        <v>23</v>
      </c>
      <c r="K29" s="1" t="n">
        <f aca="false">COUNTIF(K3:K28,"p")</f>
        <v>25</v>
      </c>
      <c r="L29" s="1" t="n">
        <f aca="false">COUNTIF(L3:L28,"p")</f>
        <v>24</v>
      </c>
      <c r="M29" s="1" t="n">
        <f aca="false">COUNTIF(M3:M28,"p")</f>
        <v>25</v>
      </c>
      <c r="N29" s="1" t="n">
        <f aca="false">COUNTIF(N3:N28,"p")</f>
        <v>22</v>
      </c>
      <c r="P29" s="1" t="n">
        <f aca="false">COUNTIF(P3:P28,"p")</f>
        <v>23</v>
      </c>
      <c r="V29" s="1" t="n">
        <f aca="false">COUNTIF(V3:V28,"P")</f>
        <v>14</v>
      </c>
      <c r="X29" s="1" t="n">
        <f aca="false">COUNTIF(X3:X28,"P")</f>
        <v>23</v>
      </c>
      <c r="Y29" s="1" t="n">
        <f aca="false">COUNTIF(Y3:Y28,"P")</f>
        <v>24</v>
      </c>
      <c r="Z29" s="1" t="n">
        <f aca="false">COUNTIF(Z3:Z28,"P")</f>
        <v>24</v>
      </c>
      <c r="AA29" s="1" t="n">
        <f aca="false">COUNTIF(AA3:AA28,"P")</f>
        <v>22</v>
      </c>
      <c r="AC29" s="1" t="n">
        <f aca="false">COUNTIF(AC3:AC28,"P")</f>
        <v>23</v>
      </c>
      <c r="AD29" s="1" t="n">
        <f aca="false">COUNTIF(AD3:AD28,"P")</f>
        <v>22</v>
      </c>
      <c r="AE29" s="1" t="n">
        <f aca="false">COUNTIF(AE3:AE28,"P")</f>
        <v>17</v>
      </c>
      <c r="AG29" s="1" t="n">
        <f aca="false">COUNTIF(AG3:AG28,"P")</f>
        <v>23</v>
      </c>
      <c r="AH29" s="1" t="n">
        <f aca="false">COUNTIF(AH3:AH28,"P")</f>
        <v>23</v>
      </c>
      <c r="AI29" s="1" t="n">
        <f aca="false">COUNTIF(AI3:AI28,"P")</f>
        <v>25</v>
      </c>
      <c r="AJ29" s="1" t="n">
        <f aca="false">COUNTIF(AJ3:AJ28,"P")</f>
        <v>22</v>
      </c>
      <c r="AK29" s="1" t="n">
        <f aca="false">COUNTIF(AK3:AK28,"P")</f>
        <v>23</v>
      </c>
      <c r="AM29" s="2" t="n">
        <f aca="false">COUNTIF(AM3:AM28,"P")</f>
        <v>25</v>
      </c>
      <c r="AN29" s="2" t="n">
        <f aca="false">COUNTIF(AN3:AN28,"P")</f>
        <v>17</v>
      </c>
      <c r="AV29" s="3" t="n">
        <f aca="false">COUNTIF(AV4:AV28,"P")</f>
        <v>3</v>
      </c>
      <c r="AX29" s="3" t="n">
        <f aca="false">COUNTIF(AX4:AX28,"P")</f>
        <v>3</v>
      </c>
    </row>
    <row r="30" customFormat="false" ht="15" hidden="false" customHeight="false" outlineLevel="0" collapsed="false">
      <c r="C30" s="1" t="s">
        <v>105</v>
      </c>
      <c r="AE30" s="3" t="n">
        <f aca="false">COUNTIF(AE3:AE28,"M")</f>
        <v>3</v>
      </c>
      <c r="AG30" s="3" t="n">
        <f aca="false">COUNTIF(AG3:AG28,"M")</f>
        <v>0</v>
      </c>
      <c r="AH30" s="3" t="n">
        <f aca="false">COUNTIF(AH3:AH28,"M")</f>
        <v>0</v>
      </c>
      <c r="AI30" s="3" t="n">
        <f aca="false">COUNTIF(AI3:AI28,"M")</f>
        <v>0</v>
      </c>
      <c r="AJ30" s="3" t="n">
        <f aca="false">COUNTIF(AJ3:AJ28,"M")</f>
        <v>0</v>
      </c>
      <c r="AK30" s="3" t="n">
        <f aca="false">COUNTIF(AK3:AK28,"M")</f>
        <v>0</v>
      </c>
      <c r="AM30" s="12" t="n">
        <f aca="false">COUNTIF(AM3:AM28,"M")</f>
        <v>0</v>
      </c>
      <c r="AN30" s="12" t="n">
        <f aca="false">COUNTIF(AN3:AN28,"M")</f>
        <v>0</v>
      </c>
      <c r="AO30" s="3"/>
      <c r="AV30" s="3" t="n">
        <f aca="false">COUNTIF(AV4:AV28,"m")</f>
        <v>0</v>
      </c>
      <c r="AX30" s="3" t="n">
        <f aca="false">COUNTIF(AX4:AX28,"m")</f>
        <v>0</v>
      </c>
    </row>
    <row r="31" customFormat="false" ht="15" hidden="false" customHeight="false" outlineLevel="0" collapsed="false">
      <c r="C31" s="1" t="s">
        <v>106</v>
      </c>
      <c r="AE31" s="3" t="n">
        <f aca="false">COUNTIF(AE3:AE28,"T")</f>
        <v>0</v>
      </c>
      <c r="AG31" s="3" t="n">
        <f aca="false">COUNTIF(AG3:AG28,"T")</f>
        <v>0</v>
      </c>
      <c r="AH31" s="3" t="n">
        <f aca="false">COUNTIF(AH3:AH28,"T")</f>
        <v>1</v>
      </c>
      <c r="AI31" s="3" t="n">
        <f aca="false">COUNTIF(AI3:AI28,"T")</f>
        <v>0</v>
      </c>
      <c r="AJ31" s="3" t="n">
        <f aca="false">COUNTIF(AJ3:AJ28,"T")</f>
        <v>0</v>
      </c>
      <c r="AK31" s="3" t="n">
        <f aca="false">COUNTIF(AK3:AK28,"T")</f>
        <v>1</v>
      </c>
      <c r="AM31" s="12" t="n">
        <f aca="false">COUNTIF(AM3:AM28,"T")</f>
        <v>0</v>
      </c>
      <c r="AN31" s="12" t="n">
        <f aca="false">COUNTIF(AN3:AN28,"T")</f>
        <v>4</v>
      </c>
      <c r="AO31" s="3"/>
      <c r="AV31" s="3" t="n">
        <f aca="false">COUNTIF(AV4:AV28,"T")</f>
        <v>0</v>
      </c>
      <c r="AX31" s="3" t="n">
        <f aca="false">COUNTIF(AX4:AX28,"T")</f>
        <v>0</v>
      </c>
    </row>
    <row r="32" customFormat="false" ht="15" hidden="false" customHeight="false" outlineLevel="0" collapsed="false">
      <c r="C32" s="1" t="s">
        <v>2</v>
      </c>
      <c r="AE32" s="3" t="n">
        <f aca="false">SUM(AE29:AE31)</f>
        <v>20</v>
      </c>
      <c r="AG32" s="3" t="n">
        <f aca="false">SUM(AG29:AG31)</f>
        <v>23</v>
      </c>
      <c r="AH32" s="3" t="n">
        <f aca="false">SUM(AH29:AH31)</f>
        <v>24</v>
      </c>
      <c r="AI32" s="3" t="n">
        <f aca="false">SUM(AI29:AI31)</f>
        <v>25</v>
      </c>
      <c r="AJ32" s="3" t="n">
        <f aca="false">SUM(AJ29:AJ31)</f>
        <v>22</v>
      </c>
      <c r="AK32" s="3" t="n">
        <f aca="false">SUM(AK29:AK31)</f>
        <v>24</v>
      </c>
      <c r="AM32" s="12" t="n">
        <f aca="false">SUM(AM29:AM31)</f>
        <v>25</v>
      </c>
      <c r="AN32" s="12" t="n">
        <f aca="false">SUM(AN29:AN31)</f>
        <v>21</v>
      </c>
      <c r="AO32" s="3"/>
      <c r="AV32" s="3" t="n">
        <f aca="false">SUM(AV29:AV31)</f>
        <v>3</v>
      </c>
      <c r="AX32" s="3" t="n">
        <f aca="false">SUM(AX29:AX31)</f>
        <v>3</v>
      </c>
    </row>
  </sheetData>
  <conditionalFormatting sqref="AT3:AT28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</conditionalFormatting>
  <conditionalFormatting sqref="BB4:BB28">
    <cfRule type="cellIs" priority="5" operator="greaterThan" aboveAverage="0" equalAverage="0" bottom="0" percent="0" rank="0" text="" dxfId="3">
      <formula>6</formula>
    </cfRule>
    <cfRule type="cellIs" priority="6" operator="between" aboveAverage="0" equalAverage="0" bottom="0" percent="0" rank="0" text="" dxfId="4">
      <formula>4</formula>
      <formula>6</formula>
    </cfRule>
    <cfRule type="cellIs" priority="7" operator="lessThan" aboveAverage="0" equalAverage="0" bottom="0" percent="0" rank="0" text="" dxfId="5">
      <formula>4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AV3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Y15" activeCellId="0" sqref="AY15"/>
    </sheetView>
  </sheetViews>
  <sheetFormatPr defaultColWidth="9.7148437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18.61"/>
    <col collapsed="false" customWidth="true" hidden="true" outlineLevel="0" max="3" min="3" style="1" width="10.61"/>
    <col collapsed="false" customWidth="true" hidden="true" outlineLevel="0" max="4" min="4" style="1" width="9.4"/>
    <col collapsed="false" customWidth="true" hidden="true" outlineLevel="0" max="5" min="5" style="1" width="15.79"/>
    <col collapsed="false" customWidth="true" hidden="true" outlineLevel="0" max="9" min="6" style="1" width="9.4"/>
    <col collapsed="false" customWidth="true" hidden="true" outlineLevel="0" max="10" min="10" style="1" width="12.8"/>
    <col collapsed="false" customWidth="true" hidden="true" outlineLevel="0" max="11" min="11" style="1" width="9.4"/>
    <col collapsed="false" customWidth="true" hidden="true" outlineLevel="0" max="23" min="12" style="1" width="9.59"/>
    <col collapsed="false" customWidth="true" hidden="true" outlineLevel="0" max="24" min="24" style="1" width="13.93"/>
    <col collapsed="false" customWidth="true" hidden="true" outlineLevel="0" max="25" min="25" style="1" width="8.07"/>
    <col collapsed="false" customWidth="true" hidden="true" outlineLevel="0" max="26" min="26" style="1" width="13.93"/>
    <col collapsed="false" customWidth="true" hidden="true" outlineLevel="0" max="27" min="27" style="1" width="18.25"/>
    <col collapsed="false" customWidth="false" hidden="true" outlineLevel="0" max="29" min="28" style="1" width="9.71"/>
    <col collapsed="false" customWidth="true" hidden="true" outlineLevel="0" max="30" min="30" style="1" width="29.29"/>
    <col collapsed="false" customWidth="false" hidden="true" outlineLevel="0" max="45" min="31" style="1" width="9.71"/>
    <col collapsed="false" customWidth="false" hidden="true" outlineLevel="0" max="47" min="46" style="0" width="9.71"/>
  </cols>
  <sheetData>
    <row r="5" customFormat="false" ht="15" hidden="false" customHeight="false" outlineLevel="0" collapsed="false">
      <c r="AT5" s="1"/>
      <c r="AU5" s="1"/>
    </row>
    <row r="6" customFormat="false" ht="15" hidden="false" customHeight="false" outlineLevel="0" collapsed="false">
      <c r="AT6" s="3"/>
      <c r="AU6" s="3"/>
    </row>
    <row r="7" customFormat="false" ht="15" hidden="false" customHeight="false" outlineLevel="0" collapsed="false">
      <c r="AS7" s="3" t="s">
        <v>107</v>
      </c>
    </row>
    <row r="8" customFormat="false" ht="15" hidden="false" customHeight="false" outlineLevel="0" collapsed="false">
      <c r="C8" s="14" t="s">
        <v>108</v>
      </c>
      <c r="V8" s="1" t="s">
        <v>109</v>
      </c>
      <c r="AI8" s="1" t="s">
        <v>110</v>
      </c>
      <c r="AR8" s="3" t="s">
        <v>108</v>
      </c>
      <c r="AV8" s="15" t="s">
        <v>111</v>
      </c>
    </row>
    <row r="9" customFormat="false" ht="15" hidden="false" customHeight="false" outlineLevel="0" collapsed="false">
      <c r="A9" s="1" t="s">
        <v>112</v>
      </c>
      <c r="B9" s="3" t="s">
        <v>5</v>
      </c>
      <c r="C9" s="1" t="s">
        <v>113</v>
      </c>
      <c r="D9" s="1" t="s">
        <v>114</v>
      </c>
      <c r="E9" s="1" t="s">
        <v>115</v>
      </c>
      <c r="F9" s="1" t="s">
        <v>116</v>
      </c>
      <c r="G9" s="1" t="s">
        <v>117</v>
      </c>
      <c r="H9" s="1" t="s">
        <v>118</v>
      </c>
      <c r="I9" s="1" t="s">
        <v>119</v>
      </c>
      <c r="J9" s="1" t="s">
        <v>120</v>
      </c>
      <c r="K9" s="1" t="s">
        <v>121</v>
      </c>
      <c r="L9" s="1" t="s">
        <v>122</v>
      </c>
      <c r="M9" s="1" t="s">
        <v>123</v>
      </c>
      <c r="N9" s="1" t="s">
        <v>124</v>
      </c>
      <c r="O9" s="1" t="s">
        <v>125</v>
      </c>
      <c r="P9" s="1" t="s">
        <v>126</v>
      </c>
      <c r="Q9" s="1" t="s">
        <v>125</v>
      </c>
      <c r="R9" s="1" t="s">
        <v>127</v>
      </c>
      <c r="S9" s="1" t="s">
        <v>128</v>
      </c>
      <c r="T9" s="1" t="s">
        <v>119</v>
      </c>
      <c r="U9" s="1" t="s">
        <v>129</v>
      </c>
      <c r="V9" s="1" t="s">
        <v>130</v>
      </c>
      <c r="W9" s="1" t="s">
        <v>131</v>
      </c>
      <c r="X9" s="4" t="n">
        <v>45875</v>
      </c>
      <c r="Y9" s="7" t="s">
        <v>132</v>
      </c>
      <c r="Z9" s="1" t="s">
        <v>133</v>
      </c>
      <c r="AA9" s="1" t="s">
        <v>134</v>
      </c>
      <c r="AB9" s="1" t="s">
        <v>135</v>
      </c>
      <c r="AC9" s="1" t="s">
        <v>136</v>
      </c>
      <c r="AD9" s="1" t="s">
        <v>1</v>
      </c>
      <c r="AE9" s="1" t="s">
        <v>13</v>
      </c>
      <c r="AF9" s="1" t="s">
        <v>119</v>
      </c>
      <c r="AG9" s="1" t="s">
        <v>137</v>
      </c>
      <c r="AH9" s="1" t="s">
        <v>138</v>
      </c>
      <c r="AI9" s="1" t="s">
        <v>130</v>
      </c>
      <c r="AK9" s="1" t="s">
        <v>139</v>
      </c>
      <c r="AL9" s="1" t="s">
        <v>140</v>
      </c>
      <c r="AM9" s="1" t="s">
        <v>141</v>
      </c>
      <c r="AN9" s="3" t="s">
        <v>142</v>
      </c>
      <c r="AO9" s="3" t="s">
        <v>143</v>
      </c>
      <c r="AQ9" s="3" t="s">
        <v>144</v>
      </c>
      <c r="AR9" s="3" t="s">
        <v>13</v>
      </c>
      <c r="AS9" s="3" t="s">
        <v>108</v>
      </c>
      <c r="AT9" s="3" t="s">
        <v>145</v>
      </c>
      <c r="AV9" s="16" t="n">
        <v>46080</v>
      </c>
    </row>
    <row r="10" customFormat="false" ht="15.65" hidden="true" customHeight="false" outlineLevel="0" collapsed="false">
      <c r="A10" s="1" t="n">
        <v>1</v>
      </c>
      <c r="B10" s="3" t="s">
        <v>17</v>
      </c>
      <c r="C10" s="1" t="n">
        <v>9</v>
      </c>
      <c r="E10" s="1" t="n">
        <v>9</v>
      </c>
      <c r="G10" s="1" t="n">
        <v>7</v>
      </c>
      <c r="I10" s="1" t="n">
        <v>4</v>
      </c>
      <c r="J10" s="1" t="n">
        <f aca="false">ROUND(I10/2+G10,0)</f>
        <v>9</v>
      </c>
      <c r="L10" s="9" t="n">
        <f aca="false">ROUND(AVERAGE(C10,E10,J10),0)</f>
        <v>9</v>
      </c>
      <c r="M10" s="9" t="str">
        <f aca="false">IF(L10&gt;6,"TEA","TEP")</f>
        <v>TEA</v>
      </c>
      <c r="N10" s="17" t="n">
        <v>7</v>
      </c>
      <c r="O10" s="18" t="n">
        <v>45849</v>
      </c>
      <c r="P10" s="17" t="n">
        <v>7</v>
      </c>
      <c r="Q10" s="18" t="n">
        <v>45849</v>
      </c>
      <c r="R10" s="1" t="n">
        <v>3.5</v>
      </c>
      <c r="S10" s="1" t="n">
        <v>10</v>
      </c>
      <c r="U10" s="1" t="n">
        <f aca="false">S10+T10/2</f>
        <v>10</v>
      </c>
      <c r="V10" s="19" t="n">
        <f aca="false">ROUND(AVERAGE(U10,R10,P10,N10,L10),0)</f>
        <v>7</v>
      </c>
      <c r="W10" s="1" t="n">
        <f aca="false">ROUND(AVERAGE(C10,E10,J10,N10,P10,R10,S10),0)</f>
        <v>8</v>
      </c>
      <c r="Y10" s="1" t="n">
        <v>9</v>
      </c>
      <c r="Z10" s="1" t="n">
        <v>7</v>
      </c>
      <c r="AB10" s="1" t="s">
        <v>146</v>
      </c>
      <c r="AC10" s="1" t="n">
        <v>7</v>
      </c>
      <c r="AD10" s="1" t="s">
        <v>147</v>
      </c>
      <c r="AE10" s="1" t="n">
        <v>8</v>
      </c>
      <c r="AG10" s="1" t="n">
        <f aca="false">AE10+AF10/2</f>
        <v>8</v>
      </c>
      <c r="AI10" s="9" t="n">
        <f aca="false">ROUND(AVERAGE(Y10,Z10,AC10,AG10),0)</f>
        <v>8</v>
      </c>
      <c r="AQ10" s="9" t="n">
        <f aca="false">ROUND(AVERAGE(V10,AI10),0)</f>
        <v>8</v>
      </c>
      <c r="AR10" s="9"/>
      <c r="AS10" s="3" t="n">
        <f aca="false">ROUND(AVERAGE(C11),0)</f>
        <v>9</v>
      </c>
      <c r="AT10" s="3" t="s">
        <v>148</v>
      </c>
    </row>
    <row r="11" s="1" customFormat="true" ht="15.65" hidden="true" customHeight="false" outlineLevel="0" collapsed="false">
      <c r="A11" s="1" t="n">
        <v>2</v>
      </c>
      <c r="B11" s="3" t="s">
        <v>23</v>
      </c>
      <c r="C11" s="1" t="n">
        <v>9</v>
      </c>
      <c r="D11" s="4" t="n">
        <v>45994</v>
      </c>
      <c r="E11" s="1" t="n">
        <v>4</v>
      </c>
      <c r="F11" s="4" t="n">
        <v>45994</v>
      </c>
      <c r="G11" s="1" t="n">
        <v>9</v>
      </c>
      <c r="H11" s="4" t="n">
        <v>45994</v>
      </c>
      <c r="I11" s="1" t="n">
        <v>0</v>
      </c>
      <c r="J11" s="1" t="n">
        <f aca="false">I11/2+G11</f>
        <v>9</v>
      </c>
      <c r="L11" s="9" t="n">
        <f aca="false">ROUND(AVERAGE(C11,E11,J11),0)</f>
        <v>7</v>
      </c>
      <c r="M11" s="9" t="str">
        <f aca="false">IF(L11&gt;6,"TEA","TEP")</f>
        <v>TEA</v>
      </c>
      <c r="N11" s="1" t="n">
        <v>1</v>
      </c>
      <c r="P11" s="1" t="n">
        <v>7</v>
      </c>
      <c r="R11" s="1" t="n">
        <v>3.5</v>
      </c>
      <c r="S11" s="1" t="n">
        <v>9</v>
      </c>
      <c r="U11" s="1" t="n">
        <f aca="false">S11+T11/2</f>
        <v>9</v>
      </c>
      <c r="V11" s="9" t="n">
        <f aca="false">ROUND(AVERAGE(U11,R11,P11,N11,L11),0)</f>
        <v>6</v>
      </c>
      <c r="W11" s="1" t="n">
        <f aca="false">ROUND(AVERAGE(C11,E11,J11,N11,P11,R11,S11),0)</f>
        <v>6</v>
      </c>
      <c r="X11" s="1" t="s">
        <v>20</v>
      </c>
      <c r="Y11" s="1" t="n">
        <v>7</v>
      </c>
      <c r="Z11" s="1" t="n">
        <v>5</v>
      </c>
      <c r="AA11" s="1" t="s">
        <v>149</v>
      </c>
      <c r="AB11" s="1" t="s">
        <v>150</v>
      </c>
      <c r="AC11" s="1" t="n">
        <v>6</v>
      </c>
      <c r="AD11" s="1" t="s">
        <v>151</v>
      </c>
      <c r="AE11" s="1" t="n">
        <v>8</v>
      </c>
      <c r="AG11" s="1" t="n">
        <f aca="false">AE11+AF11/2</f>
        <v>8</v>
      </c>
      <c r="AI11" s="9" t="n">
        <f aca="false">ROUND(AVERAGE(Y11,Z11,AC11,AG11),0)</f>
        <v>7</v>
      </c>
      <c r="AL11" s="1" t="n">
        <v>9</v>
      </c>
      <c r="AQ11" s="9" t="n">
        <f aca="false">ROUND(AVERAGE(V11,AI11),0)</f>
        <v>7</v>
      </c>
      <c r="AR11" s="9" t="n">
        <v>10</v>
      </c>
      <c r="AS11" s="1" t="n">
        <f aca="false">ROUND(AVERAGE(C11,E11,G11,P11,Y11,Z11,AC11),0)</f>
        <v>7</v>
      </c>
      <c r="AT11" s="9" t="n">
        <f aca="false">ROUND(AS11*6/10,0)</f>
        <v>4</v>
      </c>
      <c r="AU11" s="1" t="s">
        <v>152</v>
      </c>
    </row>
    <row r="12" s="1" customFormat="true" ht="15.65" hidden="true" customHeight="false" outlineLevel="0" collapsed="false">
      <c r="A12" s="1" t="n">
        <v>3</v>
      </c>
      <c r="B12" s="3" t="s">
        <v>26</v>
      </c>
      <c r="C12" s="1" t="n">
        <v>8</v>
      </c>
      <c r="E12" s="1" t="n">
        <v>3</v>
      </c>
      <c r="G12" s="1" t="n">
        <v>1</v>
      </c>
      <c r="I12" s="1" t="n">
        <v>33</v>
      </c>
      <c r="J12" s="1" t="n">
        <f aca="false">I12/2+G12</f>
        <v>17.5</v>
      </c>
      <c r="L12" s="9" t="n">
        <f aca="false">ROUND(AVERAGE(C12,E12,J12),0)</f>
        <v>10</v>
      </c>
      <c r="M12" s="9" t="str">
        <f aca="false">IF(L12&gt;6,"TEA","TEP")</f>
        <v>TEA</v>
      </c>
      <c r="N12" s="1" t="n">
        <v>5</v>
      </c>
      <c r="O12" s="4" t="n">
        <v>45849</v>
      </c>
      <c r="P12" s="1" t="n">
        <v>4</v>
      </c>
      <c r="Q12" s="4" t="n">
        <v>45849</v>
      </c>
      <c r="R12" s="1" t="n">
        <v>8.25</v>
      </c>
      <c r="S12" s="1" t="n">
        <v>10</v>
      </c>
      <c r="U12" s="1" t="n">
        <f aca="false">S12+T12/2</f>
        <v>10</v>
      </c>
      <c r="V12" s="9" t="n">
        <f aca="false">ROUND(AVERAGE(U12,R12,P12,N12,L12),0)</f>
        <v>7</v>
      </c>
      <c r="W12" s="1" t="n">
        <f aca="false">ROUND(AVERAGE(C12,E12,J12,N12,P12,R12,S12),0)</f>
        <v>8</v>
      </c>
      <c r="Y12" s="1" t="n">
        <v>5</v>
      </c>
      <c r="Z12" s="1" t="n">
        <v>7</v>
      </c>
      <c r="AB12" s="1" t="s">
        <v>153</v>
      </c>
      <c r="AC12" s="1" t="n">
        <v>6</v>
      </c>
      <c r="AE12" s="1" t="n">
        <v>9</v>
      </c>
      <c r="AG12" s="1" t="n">
        <f aca="false">AE12+AF12/2</f>
        <v>9</v>
      </c>
      <c r="AH12" s="1" t="n">
        <v>8</v>
      </c>
      <c r="AI12" s="9" t="n">
        <f aca="false">ROUND(AVERAGE(Y12,Z12,AC12,AG12,AH12),0)</f>
        <v>7</v>
      </c>
      <c r="AJ12" s="1" t="s">
        <v>154</v>
      </c>
      <c r="AQ12" s="9" t="n">
        <f aca="false">ROUND(AVERAGE(V12,AI12),0)</f>
        <v>7</v>
      </c>
      <c r="AR12" s="9"/>
      <c r="AT12" s="9"/>
    </row>
    <row r="13" s="1" customFormat="true" ht="29.85" hidden="true" customHeight="false" outlineLevel="0" collapsed="false">
      <c r="A13" s="1" t="n">
        <v>4</v>
      </c>
      <c r="B13" s="3" t="s">
        <v>30</v>
      </c>
      <c r="C13" s="1" t="n">
        <v>10</v>
      </c>
      <c r="E13" s="1" t="n">
        <v>7</v>
      </c>
      <c r="G13" s="1" t="n">
        <v>7</v>
      </c>
      <c r="I13" s="1" t="n">
        <v>15</v>
      </c>
      <c r="J13" s="1" t="n">
        <f aca="false">I13/2+G13</f>
        <v>14.5</v>
      </c>
      <c r="L13" s="9" t="n">
        <f aca="false">ROUND(AVERAGE(C13,E13,J13),0)</f>
        <v>11</v>
      </c>
      <c r="M13" s="9" t="str">
        <f aca="false">IF(L13&gt;6,"TEA","TEP")</f>
        <v>TEA</v>
      </c>
      <c r="N13" s="1" t="n">
        <v>7</v>
      </c>
      <c r="O13" s="4" t="n">
        <v>45849</v>
      </c>
      <c r="P13" s="1" t="n">
        <v>7</v>
      </c>
      <c r="Q13" s="4" t="n">
        <v>45849</v>
      </c>
      <c r="R13" s="1" t="n">
        <v>2.25</v>
      </c>
      <c r="S13" s="1" t="n">
        <v>9</v>
      </c>
      <c r="U13" s="1" t="n">
        <f aca="false">S13+T13/2</f>
        <v>9</v>
      </c>
      <c r="V13" s="9" t="n">
        <f aca="false">ROUND(AVERAGE(U13,R13,P13,N13,L13),0)</f>
        <v>7</v>
      </c>
      <c r="W13" s="1" t="n">
        <f aca="false">ROUND(AVERAGE(C13,E13,J13,N13,P13,R13,S13),0)</f>
        <v>8</v>
      </c>
      <c r="Y13" s="1" t="n">
        <v>9</v>
      </c>
      <c r="Z13" s="1" t="n">
        <v>8</v>
      </c>
      <c r="AA13" s="1" t="s">
        <v>155</v>
      </c>
      <c r="AB13" s="1" t="s">
        <v>150</v>
      </c>
      <c r="AC13" s="1" t="n">
        <v>3</v>
      </c>
      <c r="AD13" s="20" t="s">
        <v>156</v>
      </c>
      <c r="AE13" s="20" t="n">
        <v>8</v>
      </c>
      <c r="AF13" s="20"/>
      <c r="AG13" s="1" t="n">
        <f aca="false">AE13+AF13/2</f>
        <v>8</v>
      </c>
      <c r="AH13" s="20"/>
      <c r="AI13" s="9" t="n">
        <f aca="false">ROUND(AVERAGE(Y13,Z13,AC13,AG13),0)</f>
        <v>7</v>
      </c>
      <c r="AJ13" s="20"/>
      <c r="AL13" s="1" t="n">
        <v>9</v>
      </c>
      <c r="AN13" s="1" t="n">
        <v>10</v>
      </c>
      <c r="AQ13" s="9" t="n">
        <f aca="false">ROUND(AVERAGE(V13,AI13),0)</f>
        <v>7</v>
      </c>
      <c r="AR13" s="9"/>
      <c r="AT13" s="9"/>
    </row>
    <row r="14" s="1" customFormat="true" ht="14.9" hidden="true" customHeight="true" outlineLevel="0" collapsed="false">
      <c r="A14" s="1" t="n">
        <v>5</v>
      </c>
      <c r="B14" s="3" t="s">
        <v>35</v>
      </c>
      <c r="C14" s="1" t="n">
        <v>8</v>
      </c>
      <c r="E14" s="1" t="n">
        <v>8</v>
      </c>
      <c r="G14" s="1" t="n">
        <v>9</v>
      </c>
      <c r="I14" s="1" t="n">
        <v>8</v>
      </c>
      <c r="J14" s="1" t="n">
        <f aca="false">I14/2+G14</f>
        <v>13</v>
      </c>
      <c r="L14" s="9" t="n">
        <f aca="false">ROUND(AVERAGE(C14,E14,J14),0)</f>
        <v>10</v>
      </c>
      <c r="M14" s="9" t="str">
        <f aca="false">IF(L14&gt;6,"TEA","TEP")</f>
        <v>TEA</v>
      </c>
      <c r="N14" s="1" t="n">
        <v>8</v>
      </c>
      <c r="P14" s="1" t="n">
        <v>2</v>
      </c>
      <c r="R14" s="1" t="n">
        <v>2.75</v>
      </c>
      <c r="S14" s="1" t="n">
        <v>10</v>
      </c>
      <c r="U14" s="1" t="n">
        <f aca="false">S14+T14/2</f>
        <v>10</v>
      </c>
      <c r="V14" s="9" t="n">
        <f aca="false">ROUND(AVERAGE(U14,R14,P14,N14,L14),0)</f>
        <v>7</v>
      </c>
      <c r="W14" s="1" t="n">
        <f aca="false">ROUND(AVERAGE(C14,E14,J14,N14,P14,R14,S14),0)</f>
        <v>7</v>
      </c>
      <c r="X14" s="1" t="s">
        <v>20</v>
      </c>
      <c r="Y14" s="1" t="n">
        <v>6</v>
      </c>
      <c r="Z14" s="1" t="n">
        <v>6</v>
      </c>
      <c r="AA14" s="1" t="s">
        <v>149</v>
      </c>
      <c r="AB14" s="1" t="s">
        <v>157</v>
      </c>
      <c r="AC14" s="1" t="n">
        <v>6</v>
      </c>
      <c r="AD14" s="20" t="s">
        <v>156</v>
      </c>
      <c r="AE14" s="20" t="n">
        <v>9</v>
      </c>
      <c r="AF14" s="20"/>
      <c r="AG14" s="1" t="n">
        <f aca="false">AE14+AF14/2</f>
        <v>9</v>
      </c>
      <c r="AH14" s="20"/>
      <c r="AI14" s="9" t="n">
        <f aca="false">ROUND(AVERAGE(Y14,Z14,AC14,AG14),0)</f>
        <v>7</v>
      </c>
      <c r="AJ14" s="20"/>
      <c r="AL14" s="1" t="n">
        <v>9</v>
      </c>
      <c r="AQ14" s="9" t="n">
        <f aca="false">ROUND(AVERAGE(V14,AI14),0)</f>
        <v>7</v>
      </c>
      <c r="AR14" s="9"/>
      <c r="AT14" s="9"/>
    </row>
    <row r="15" s="1" customFormat="true" ht="15.65" hidden="false" customHeight="false" outlineLevel="0" collapsed="false">
      <c r="A15" s="1" t="n">
        <v>6</v>
      </c>
      <c r="B15" s="3" t="s">
        <v>39</v>
      </c>
      <c r="C15" s="1" t="n">
        <v>1</v>
      </c>
      <c r="E15" s="1" t="n">
        <v>7</v>
      </c>
      <c r="G15" s="1" t="n">
        <v>7</v>
      </c>
      <c r="I15" s="1" t="n">
        <v>0</v>
      </c>
      <c r="J15" s="1" t="n">
        <f aca="false">I15/2+G15</f>
        <v>7</v>
      </c>
      <c r="L15" s="9" t="n">
        <f aca="false">ROUND(AVERAGE(C15,E15,J15),0)</f>
        <v>5</v>
      </c>
      <c r="M15" s="9" t="str">
        <f aca="false">IF(L15&gt;6,"TEA","TEP")</f>
        <v>TEP</v>
      </c>
      <c r="N15" s="1" t="n">
        <v>6.33</v>
      </c>
      <c r="P15" s="1" t="n">
        <v>9</v>
      </c>
      <c r="R15" s="1" t="n">
        <v>2</v>
      </c>
      <c r="S15" s="1" t="n">
        <v>8</v>
      </c>
      <c r="U15" s="1" t="n">
        <f aca="false">S15+T15/2</f>
        <v>8</v>
      </c>
      <c r="V15" s="9" t="n">
        <f aca="false">ROUND(AVERAGE(U15,R15,P15,N15,L15),0)</f>
        <v>6</v>
      </c>
      <c r="W15" s="1" t="n">
        <f aca="false">ROUND(AVERAGE(C15,E15,J15,N15,P15,R15,S15),0)</f>
        <v>6</v>
      </c>
      <c r="X15" s="1" t="s">
        <v>20</v>
      </c>
      <c r="Y15" s="1" t="n">
        <v>1</v>
      </c>
      <c r="Z15" s="1" t="n">
        <v>1</v>
      </c>
      <c r="AB15" s="1" t="s">
        <v>153</v>
      </c>
      <c r="AC15" s="1" t="n">
        <v>1</v>
      </c>
      <c r="AE15" s="1" t="n">
        <v>6</v>
      </c>
      <c r="AG15" s="1" t="n">
        <f aca="false">AE15+AF15/2</f>
        <v>6</v>
      </c>
      <c r="AI15" s="9" t="n">
        <f aca="false">ROUND(AVERAGE(Y15,Z15,AC15,AG15),0)</f>
        <v>2</v>
      </c>
      <c r="AQ15" s="9" t="n">
        <f aca="false">ROUND(AVERAGE(V15,AI15),0)</f>
        <v>4</v>
      </c>
      <c r="AR15" s="9" t="n">
        <v>0</v>
      </c>
      <c r="AS15" s="1" t="n">
        <f aca="false">ROUND(AVERAGE(C15,E15,G15,P15,Y15,Z15,AC15),0)</f>
        <v>4</v>
      </c>
      <c r="AT15" s="9" t="n">
        <f aca="false">ROUND(AS15*6/10,0)</f>
        <v>2</v>
      </c>
      <c r="AU15" s="1" t="s">
        <v>158</v>
      </c>
      <c r="AV15" s="21" t="s">
        <v>158</v>
      </c>
    </row>
    <row r="16" s="1" customFormat="true" ht="15.65" hidden="true" customHeight="false" outlineLevel="0" collapsed="false">
      <c r="A16" s="1" t="n">
        <v>7</v>
      </c>
      <c r="B16" s="3" t="s">
        <v>43</v>
      </c>
      <c r="C16" s="1" t="n">
        <v>10</v>
      </c>
      <c r="E16" s="1" t="n">
        <v>10</v>
      </c>
      <c r="G16" s="1" t="n">
        <v>5</v>
      </c>
      <c r="I16" s="1" t="n">
        <v>20</v>
      </c>
      <c r="J16" s="1" t="n">
        <f aca="false">I16/2+G16</f>
        <v>15</v>
      </c>
      <c r="L16" s="9" t="n">
        <f aca="false">ROUND(AVERAGE(C16,E16,J16),0)</f>
        <v>12</v>
      </c>
      <c r="M16" s="9" t="str">
        <f aca="false">IF(L16&gt;6,"TEA","TEP")</f>
        <v>TEA</v>
      </c>
      <c r="N16" s="1" t="n">
        <v>4</v>
      </c>
      <c r="O16" s="4" t="n">
        <v>45849</v>
      </c>
      <c r="P16" s="1" t="n">
        <v>8</v>
      </c>
      <c r="R16" s="1" t="n">
        <v>8.5</v>
      </c>
      <c r="S16" s="1" t="n">
        <v>10</v>
      </c>
      <c r="U16" s="1" t="n">
        <f aca="false">S16+T16/2</f>
        <v>10</v>
      </c>
      <c r="V16" s="9" t="n">
        <f aca="false">ROUND(AVERAGE(U16,R16,P16,N16,L16),0)</f>
        <v>9</v>
      </c>
      <c r="W16" s="1" t="n">
        <f aca="false">ROUND(AVERAGE(C16,E16,J16,N16,P16,R16,S16),0)</f>
        <v>9</v>
      </c>
      <c r="Y16" s="1" t="n">
        <v>6</v>
      </c>
      <c r="Z16" s="1" t="n">
        <v>7</v>
      </c>
      <c r="AA16" s="1" t="s">
        <v>159</v>
      </c>
      <c r="AB16" s="1" t="s">
        <v>153</v>
      </c>
      <c r="AC16" s="1" t="n">
        <v>7</v>
      </c>
      <c r="AD16" s="1" t="s">
        <v>160</v>
      </c>
      <c r="AE16" s="1" t="n">
        <v>10</v>
      </c>
      <c r="AG16" s="1" t="n">
        <f aca="false">AE16+AF16/2</f>
        <v>10</v>
      </c>
      <c r="AI16" s="9" t="n">
        <f aca="false">ROUND(AVERAGE(Y16,Z16,AC16,AG16),0)</f>
        <v>8</v>
      </c>
      <c r="AQ16" s="9" t="n">
        <f aca="false">ROUND(AVERAGE(V16,AI16),0)</f>
        <v>9</v>
      </c>
      <c r="AR16" s="9"/>
      <c r="AT16" s="9"/>
      <c r="AV16" s="21"/>
    </row>
    <row r="17" s="1" customFormat="true" ht="15.65" hidden="true" customHeight="false" outlineLevel="0" collapsed="false">
      <c r="A17" s="1" t="n">
        <v>8</v>
      </c>
      <c r="B17" s="3" t="s">
        <v>46</v>
      </c>
      <c r="C17" s="1" t="n">
        <v>8</v>
      </c>
      <c r="E17" s="1" t="n">
        <v>8</v>
      </c>
      <c r="F17" s="4" t="n">
        <v>45784</v>
      </c>
      <c r="G17" s="1" t="n">
        <v>8</v>
      </c>
      <c r="H17" s="4" t="n">
        <v>45784</v>
      </c>
      <c r="I17" s="1" t="n">
        <v>12</v>
      </c>
      <c r="J17" s="1" t="n">
        <f aca="false">I17/2+G17</f>
        <v>14</v>
      </c>
      <c r="L17" s="9" t="n">
        <f aca="false">ROUND(AVERAGE(C17,E17,J17),0)</f>
        <v>10</v>
      </c>
      <c r="M17" s="9" t="str">
        <f aca="false">IF(L17&gt;6,"TEA","TEP")</f>
        <v>TEA</v>
      </c>
      <c r="N17" s="1" t="n">
        <v>9</v>
      </c>
      <c r="O17" s="4" t="n">
        <v>45850</v>
      </c>
      <c r="P17" s="1" t="n">
        <v>7</v>
      </c>
      <c r="Q17" s="4" t="n">
        <v>45850</v>
      </c>
      <c r="R17" s="1" t="n">
        <v>6.75</v>
      </c>
      <c r="S17" s="1" t="n">
        <v>10</v>
      </c>
      <c r="U17" s="1" t="n">
        <f aca="false">S17+T17/2</f>
        <v>10</v>
      </c>
      <c r="V17" s="9" t="n">
        <f aca="false">ROUND(AVERAGE(U17,R17,P17,N17,L17),0)</f>
        <v>9</v>
      </c>
      <c r="W17" s="1" t="n">
        <f aca="false">ROUND(AVERAGE(C17,E17,J17,N17,P17,R17,S17),0)</f>
        <v>9</v>
      </c>
      <c r="Y17" s="1" t="n">
        <v>8</v>
      </c>
      <c r="Z17" s="1" t="n">
        <v>7</v>
      </c>
      <c r="AA17" s="1" t="s">
        <v>161</v>
      </c>
      <c r="AB17" s="1" t="s">
        <v>146</v>
      </c>
      <c r="AC17" s="1" t="n">
        <v>7</v>
      </c>
      <c r="AD17" s="20" t="s">
        <v>162</v>
      </c>
      <c r="AE17" s="20" t="n">
        <v>9</v>
      </c>
      <c r="AF17" s="20"/>
      <c r="AG17" s="1" t="n">
        <f aca="false">AE17+AF17/2</f>
        <v>9</v>
      </c>
      <c r="AH17" s="20"/>
      <c r="AI17" s="9" t="n">
        <f aca="false">ROUND(AVERAGE(Y17,Z17,AC17,AG17),0)</f>
        <v>8</v>
      </c>
      <c r="AJ17" s="20"/>
      <c r="AQ17" s="9" t="n">
        <f aca="false">ROUND(AVERAGE(V17,AI17),0)</f>
        <v>9</v>
      </c>
      <c r="AR17" s="9"/>
      <c r="AT17" s="9"/>
      <c r="AV17" s="21"/>
    </row>
    <row r="18" s="1" customFormat="true" ht="15.65" hidden="true" customHeight="false" outlineLevel="0" collapsed="false">
      <c r="A18" s="1" t="n">
        <v>9</v>
      </c>
      <c r="B18" s="3" t="s">
        <v>49</v>
      </c>
      <c r="C18" s="1" t="n">
        <v>9</v>
      </c>
      <c r="E18" s="1" t="n">
        <v>9</v>
      </c>
      <c r="G18" s="1" t="n">
        <v>9</v>
      </c>
      <c r="I18" s="1" t="n">
        <v>35</v>
      </c>
      <c r="J18" s="1" t="n">
        <f aca="false">I18/2+G18</f>
        <v>26.5</v>
      </c>
      <c r="L18" s="9" t="n">
        <f aca="false">ROUND(AVERAGE(C18,E18,J18),0)</f>
        <v>15</v>
      </c>
      <c r="M18" s="9" t="str">
        <f aca="false">IF(L18&gt;6,"TEA","TEP")</f>
        <v>TEA</v>
      </c>
      <c r="N18" s="1" t="n">
        <f aca="false">ROUND(MAX(M18,L18),0)</f>
        <v>15</v>
      </c>
      <c r="P18" s="1" t="n">
        <v>9</v>
      </c>
      <c r="Q18" s="4" t="n">
        <v>45850</v>
      </c>
      <c r="R18" s="1" t="n">
        <v>9</v>
      </c>
      <c r="S18" s="1" t="n">
        <v>10</v>
      </c>
      <c r="U18" s="1" t="n">
        <f aca="false">S18+T18/2</f>
        <v>10</v>
      </c>
      <c r="V18" s="9" t="n">
        <f aca="false">ROUND(AVERAGE(U18,R18,P18,N18,L18),0)</f>
        <v>12</v>
      </c>
      <c r="W18" s="1" t="n">
        <f aca="false">ROUND(AVERAGE(C18,E18,J18,N18,P18,R18,S18),0)</f>
        <v>13</v>
      </c>
      <c r="Y18" s="1" t="n">
        <v>10</v>
      </c>
      <c r="Z18" s="1" t="n">
        <v>10</v>
      </c>
      <c r="AB18" s="1" t="s">
        <v>163</v>
      </c>
      <c r="AC18" s="1" t="n">
        <v>10</v>
      </c>
      <c r="AE18" s="1" t="n">
        <v>10</v>
      </c>
      <c r="AG18" s="1" t="n">
        <f aca="false">AE18+AF18/2</f>
        <v>10</v>
      </c>
      <c r="AI18" s="9" t="n">
        <f aca="false">ROUND(AVERAGE(Y18,Z18,AC18,AG18),0)</f>
        <v>10</v>
      </c>
      <c r="AL18" s="1" t="n">
        <v>8</v>
      </c>
      <c r="AQ18" s="9" t="n">
        <f aca="false">ROUND(AVERAGE(V18,AI18),0)</f>
        <v>11</v>
      </c>
      <c r="AR18" s="9"/>
      <c r="AT18" s="9"/>
      <c r="AV18" s="21"/>
    </row>
    <row r="19" s="1" customFormat="true" ht="15.65" hidden="true" customHeight="false" outlineLevel="0" collapsed="false">
      <c r="A19" s="1" t="n">
        <v>10</v>
      </c>
      <c r="B19" s="3" t="s">
        <v>52</v>
      </c>
      <c r="C19" s="1" t="n">
        <v>5</v>
      </c>
      <c r="E19" s="1" t="n">
        <v>6</v>
      </c>
      <c r="G19" s="1" t="n">
        <v>6</v>
      </c>
      <c r="I19" s="1" t="n">
        <v>14</v>
      </c>
      <c r="J19" s="1" t="n">
        <f aca="false">I19/2+G19</f>
        <v>13</v>
      </c>
      <c r="L19" s="9" t="n">
        <f aca="false">ROUND(AVERAGE(C19,E19,J19),0)</f>
        <v>8</v>
      </c>
      <c r="M19" s="9" t="str">
        <f aca="false">IF(L19&gt;6,"TEA","TEP")</f>
        <v>TEA</v>
      </c>
      <c r="N19" s="1" t="n">
        <v>5</v>
      </c>
      <c r="O19" s="7" t="n">
        <v>45849</v>
      </c>
      <c r="P19" s="1" t="n">
        <v>5</v>
      </c>
      <c r="Q19" s="7" t="n">
        <v>45877</v>
      </c>
      <c r="R19" s="1" t="n">
        <v>3.25</v>
      </c>
      <c r="S19" s="1" t="n">
        <v>10</v>
      </c>
      <c r="T19" s="1" t="n">
        <v>10</v>
      </c>
      <c r="U19" s="1" t="n">
        <f aca="false">S19+T19/2</f>
        <v>15</v>
      </c>
      <c r="V19" s="9" t="n">
        <f aca="false">ROUND(AVERAGE(U19,R19,P19,N19,L19),0)</f>
        <v>7</v>
      </c>
      <c r="W19" s="1" t="n">
        <f aca="false">ROUND(AVERAGE(C19,E19,J19,N19,P19,R19,S19),0)</f>
        <v>7</v>
      </c>
      <c r="X19" s="1" t="s">
        <v>20</v>
      </c>
      <c r="Y19" s="1" t="n">
        <v>9</v>
      </c>
      <c r="Z19" s="1" t="n">
        <v>1</v>
      </c>
      <c r="AB19" s="1" t="s">
        <v>164</v>
      </c>
      <c r="AC19" s="1" t="n">
        <v>1</v>
      </c>
      <c r="AE19" s="1" t="n">
        <v>7</v>
      </c>
      <c r="AF19" s="1" t="n">
        <v>20</v>
      </c>
      <c r="AG19" s="1" t="n">
        <f aca="false">AE19+AF19/2</f>
        <v>17</v>
      </c>
      <c r="AH19" s="1" t="n">
        <v>9</v>
      </c>
      <c r="AI19" s="9" t="n">
        <f aca="false">ROUND(AVERAGE(Y19,Z19,AC19,AG19,AH19),0)</f>
        <v>7</v>
      </c>
      <c r="AQ19" s="9" t="n">
        <f aca="false">ROUND(AVERAGE(V19,AI19),0)</f>
        <v>7</v>
      </c>
      <c r="AR19" s="9"/>
      <c r="AT19" s="9"/>
      <c r="AV19" s="21"/>
    </row>
    <row r="20" s="1" customFormat="true" ht="15.65" hidden="true" customHeight="false" outlineLevel="0" collapsed="false">
      <c r="A20" s="1" t="n">
        <v>26</v>
      </c>
      <c r="B20" s="3" t="s">
        <v>55</v>
      </c>
      <c r="C20" s="1" t="n">
        <v>9</v>
      </c>
      <c r="E20" s="1" t="n">
        <v>9</v>
      </c>
      <c r="G20" s="1" t="n">
        <v>8</v>
      </c>
      <c r="I20" s="1" t="n">
        <v>24</v>
      </c>
      <c r="J20" s="1" t="n">
        <f aca="false">I20/2+G20</f>
        <v>20</v>
      </c>
      <c r="L20" s="9" t="n">
        <f aca="false">ROUND(AVERAGE(C20,E20,J20),0)</f>
        <v>13</v>
      </c>
      <c r="M20" s="9" t="str">
        <f aca="false">IF(L20&gt;6,"TEA","TEP")</f>
        <v>TEA</v>
      </c>
      <c r="N20" s="1" t="n">
        <v>1</v>
      </c>
      <c r="P20" s="1" t="n">
        <v>10</v>
      </c>
      <c r="R20" s="1" t="n">
        <v>7.5</v>
      </c>
      <c r="S20" s="1" t="n">
        <v>10</v>
      </c>
      <c r="U20" s="1" t="n">
        <f aca="false">S20+T20/2</f>
        <v>10</v>
      </c>
      <c r="V20" s="9" t="n">
        <f aca="false">ROUND(AVERAGE(U20,R20,P20,N20,L20),0)</f>
        <v>8</v>
      </c>
      <c r="W20" s="1" t="n">
        <f aca="false">ROUND(AVERAGE(C20,E20,J20,N20,P20,R20,S20),0)</f>
        <v>10</v>
      </c>
      <c r="Y20" s="1" t="n">
        <v>9</v>
      </c>
      <c r="Z20" s="1" t="n">
        <v>3</v>
      </c>
      <c r="AA20" s="22" t="s">
        <v>165</v>
      </c>
      <c r="AB20" s="1" t="s">
        <v>164</v>
      </c>
      <c r="AC20" s="1" t="n">
        <v>7</v>
      </c>
      <c r="AD20" s="1" t="s">
        <v>166</v>
      </c>
      <c r="AE20" s="1" t="n">
        <v>9</v>
      </c>
      <c r="AG20" s="1" t="n">
        <f aca="false">AE20+AF20/2</f>
        <v>9</v>
      </c>
      <c r="AI20" s="9" t="n">
        <f aca="false">ROUND(AVERAGE(Y20,Z20,AC20,AG20),0)</f>
        <v>7</v>
      </c>
      <c r="AQ20" s="9" t="n">
        <f aca="false">ROUND(AVERAGE(V20,AI20),0)</f>
        <v>8</v>
      </c>
      <c r="AR20" s="9"/>
      <c r="AT20" s="9"/>
      <c r="AV20" s="21"/>
    </row>
    <row r="21" s="1" customFormat="true" ht="21.2" hidden="true" customHeight="true" outlineLevel="0" collapsed="false">
      <c r="A21" s="1" t="n">
        <v>11</v>
      </c>
      <c r="B21" s="3" t="s">
        <v>58</v>
      </c>
      <c r="C21" s="1" t="n">
        <v>8</v>
      </c>
      <c r="D21" s="4" t="n">
        <v>45782</v>
      </c>
      <c r="E21" s="1" t="n">
        <v>8</v>
      </c>
      <c r="F21" s="4" t="n">
        <v>45784</v>
      </c>
      <c r="G21" s="1" t="n">
        <v>8</v>
      </c>
      <c r="I21" s="1" t="n">
        <v>0</v>
      </c>
      <c r="J21" s="1" t="n">
        <f aca="false">I21/2+G21</f>
        <v>8</v>
      </c>
      <c r="L21" s="9" t="n">
        <f aca="false">ROUND(AVERAGE(C21,E21,J21),0)</f>
        <v>8</v>
      </c>
      <c r="M21" s="9" t="str">
        <f aca="false">IF(L21&gt;6,"TEA","TEP")</f>
        <v>TEA</v>
      </c>
      <c r="N21" s="1" t="n">
        <v>8.8</v>
      </c>
      <c r="P21" s="1" t="n">
        <v>6</v>
      </c>
      <c r="Q21" s="4" t="n">
        <v>45849</v>
      </c>
      <c r="R21" s="1" t="n">
        <v>8.75</v>
      </c>
      <c r="S21" s="1" t="n">
        <v>8</v>
      </c>
      <c r="U21" s="1" t="n">
        <f aca="false">S21+T21/2</f>
        <v>8</v>
      </c>
      <c r="V21" s="9" t="n">
        <f aca="false">ROUND(AVERAGE(U21,R21,P21,N21,L21),0)</f>
        <v>8</v>
      </c>
      <c r="W21" s="1" t="n">
        <f aca="false">ROUND(AVERAGE(C21,E21,J21,N21,P21,R21,S21),0)</f>
        <v>8</v>
      </c>
      <c r="Y21" s="1" t="n">
        <v>7</v>
      </c>
      <c r="Z21" s="1" t="n">
        <v>6</v>
      </c>
      <c r="AA21" s="20" t="s">
        <v>167</v>
      </c>
      <c r="AB21" s="1" t="s">
        <v>163</v>
      </c>
      <c r="AC21" s="1" t="n">
        <v>6</v>
      </c>
      <c r="AD21" s="1" t="s">
        <v>149</v>
      </c>
      <c r="AE21" s="1" t="n">
        <v>6</v>
      </c>
      <c r="AF21" s="1" t="n">
        <v>20</v>
      </c>
      <c r="AG21" s="1" t="n">
        <f aca="false">AE21+AF21/2</f>
        <v>16</v>
      </c>
      <c r="AI21" s="9" t="n">
        <f aca="false">ROUND(AVERAGE(Y21,Z21,AC21,AG21),0)</f>
        <v>9</v>
      </c>
      <c r="AL21" s="1" t="n">
        <v>8</v>
      </c>
      <c r="AQ21" s="9" t="n">
        <f aca="false">ROUND(AVERAGE(V21,AI21),0)</f>
        <v>9</v>
      </c>
      <c r="AR21" s="9"/>
      <c r="AT21" s="9"/>
      <c r="AV21" s="21"/>
    </row>
    <row r="22" s="1" customFormat="true" ht="15.65" hidden="true" customHeight="false" outlineLevel="0" collapsed="false">
      <c r="A22" s="1" t="n">
        <v>12</v>
      </c>
      <c r="B22" s="3" t="s">
        <v>61</v>
      </c>
      <c r="C22" s="1" t="n">
        <v>9</v>
      </c>
      <c r="E22" s="1" t="n">
        <v>10</v>
      </c>
      <c r="G22" s="1" t="n">
        <v>7</v>
      </c>
      <c r="I22" s="1" t="n">
        <v>87</v>
      </c>
      <c r="J22" s="1" t="n">
        <f aca="false">I22/2+G22</f>
        <v>50.5</v>
      </c>
      <c r="L22" s="9" t="n">
        <f aca="false">ROUND(AVERAGE(C22,E22,J22),0)</f>
        <v>23</v>
      </c>
      <c r="M22" s="9" t="str">
        <f aca="false">IF(L22&gt;6,"TEA","TEP")</f>
        <v>TEA</v>
      </c>
      <c r="N22" s="1" t="n">
        <v>9</v>
      </c>
      <c r="O22" s="4" t="n">
        <v>45850</v>
      </c>
      <c r="P22" s="1" t="n">
        <v>9</v>
      </c>
      <c r="Q22" s="4" t="n">
        <v>45850</v>
      </c>
      <c r="R22" s="1" t="n">
        <v>4.5</v>
      </c>
      <c r="S22" s="1" t="n">
        <v>10</v>
      </c>
      <c r="U22" s="1" t="n">
        <f aca="false">S22+T22/2</f>
        <v>10</v>
      </c>
      <c r="V22" s="9" t="n">
        <f aca="false">ROUND(AVERAGE(U22,R22,P22,N22,L22),0)</f>
        <v>11</v>
      </c>
      <c r="W22" s="1" t="n">
        <f aca="false">ROUND(AVERAGE(C22,E22,J22,N22,P22,R22,S22),0)</f>
        <v>15</v>
      </c>
      <c r="Y22" s="1" t="n">
        <v>10</v>
      </c>
      <c r="Z22" s="1" t="n">
        <v>7</v>
      </c>
      <c r="AA22" s="1" t="s">
        <v>168</v>
      </c>
      <c r="AB22" s="1" t="s">
        <v>164</v>
      </c>
      <c r="AC22" s="1" t="n">
        <v>9</v>
      </c>
      <c r="AE22" s="1" t="n">
        <v>9</v>
      </c>
      <c r="AG22" s="1" t="n">
        <f aca="false">AE22+AF22/2</f>
        <v>9</v>
      </c>
      <c r="AI22" s="9" t="n">
        <f aca="false">ROUND(AVERAGE(Y22,Z22,AC22,AG22),0)</f>
        <v>9</v>
      </c>
      <c r="AQ22" s="9" t="n">
        <f aca="false">ROUND(AVERAGE(V22,AI22),0)</f>
        <v>10</v>
      </c>
      <c r="AR22" s="9"/>
      <c r="AT22" s="9"/>
      <c r="AV22" s="21"/>
    </row>
    <row r="23" s="1" customFormat="true" ht="15.65" hidden="true" customHeight="false" outlineLevel="0" collapsed="false">
      <c r="A23" s="1" t="n">
        <v>13</v>
      </c>
      <c r="B23" s="3" t="s">
        <v>64</v>
      </c>
      <c r="C23" s="1" t="n">
        <v>10</v>
      </c>
      <c r="E23" s="1" t="n">
        <v>7</v>
      </c>
      <c r="G23" s="1" t="n">
        <v>5</v>
      </c>
      <c r="I23" s="1" t="n">
        <v>62</v>
      </c>
      <c r="J23" s="1" t="n">
        <f aca="false">I23/2+G23</f>
        <v>36</v>
      </c>
      <c r="K23" s="1" t="n">
        <v>10</v>
      </c>
      <c r="L23" s="9" t="n">
        <f aca="false">ROUND(AVERAGE(C23,E23,J23,K23),0)</f>
        <v>16</v>
      </c>
      <c r="M23" s="9" t="str">
        <f aca="false">IF(L23&gt;6,"TEA","TEP")</f>
        <v>TEA</v>
      </c>
      <c r="N23" s="1" t="n">
        <v>6.8</v>
      </c>
      <c r="P23" s="1" t="n">
        <v>1</v>
      </c>
      <c r="R23" s="1" t="n">
        <v>6</v>
      </c>
      <c r="S23" s="1" t="n">
        <v>10</v>
      </c>
      <c r="U23" s="1" t="n">
        <f aca="false">S23+T23/2</f>
        <v>10</v>
      </c>
      <c r="V23" s="9" t="n">
        <f aca="false">ROUND(AVERAGE(U23,R23,P23,N23,L23),0)</f>
        <v>8</v>
      </c>
      <c r="W23" s="1" t="n">
        <f aca="false">ROUND(AVERAGE(C23,E23,J23,N23,P23,R23,S23),0)</f>
        <v>11</v>
      </c>
      <c r="Y23" s="1" t="n">
        <v>10</v>
      </c>
      <c r="Z23" s="1" t="n">
        <v>8</v>
      </c>
      <c r="AA23" s="1" t="s">
        <v>169</v>
      </c>
      <c r="AB23" s="1" t="s">
        <v>170</v>
      </c>
      <c r="AC23" s="1" t="n">
        <v>9</v>
      </c>
      <c r="AE23" s="1" t="n">
        <v>9</v>
      </c>
      <c r="AG23" s="1" t="n">
        <f aca="false">AE23+AF23/2</f>
        <v>9</v>
      </c>
      <c r="AI23" s="9" t="n">
        <f aca="false">ROUND(AVERAGE(Y23,Z23,AC23,AG23),0)</f>
        <v>9</v>
      </c>
      <c r="AL23" s="1" t="n">
        <v>10</v>
      </c>
      <c r="AQ23" s="9" t="n">
        <f aca="false">ROUND(AVERAGE(V23,AI23),0)</f>
        <v>9</v>
      </c>
      <c r="AR23" s="9"/>
      <c r="AT23" s="9"/>
      <c r="AV23" s="21"/>
    </row>
    <row r="24" s="1" customFormat="true" ht="15.65" hidden="false" customHeight="false" outlineLevel="0" collapsed="false">
      <c r="A24" s="1" t="n">
        <v>14</v>
      </c>
      <c r="B24" s="3" t="s">
        <v>171</v>
      </c>
      <c r="C24" s="1" t="n">
        <v>8</v>
      </c>
      <c r="E24" s="1" t="n">
        <v>8</v>
      </c>
      <c r="G24" s="1" t="n">
        <v>9</v>
      </c>
      <c r="H24" s="7" t="n">
        <v>45784</v>
      </c>
      <c r="I24" s="1" t="n">
        <v>3</v>
      </c>
      <c r="J24" s="1" t="n">
        <f aca="false">I24/2+G24</f>
        <v>10.5</v>
      </c>
      <c r="L24" s="9" t="n">
        <f aca="false">ROUND(AVERAGE(C24,E24,J24),0)</f>
        <v>9</v>
      </c>
      <c r="M24" s="9" t="str">
        <f aca="false">IF(L24&gt;6,"TEA","TEP")</f>
        <v>TEA</v>
      </c>
      <c r="N24" s="23" t="n">
        <v>1</v>
      </c>
      <c r="P24" s="1" t="n">
        <v>9</v>
      </c>
      <c r="Q24" s="7" t="n">
        <v>45849</v>
      </c>
      <c r="R24" s="1" t="n">
        <v>3.25</v>
      </c>
      <c r="S24" s="1" t="n">
        <v>7</v>
      </c>
      <c r="U24" s="1" t="n">
        <f aca="false">S24+T24/2</f>
        <v>7</v>
      </c>
      <c r="V24" s="9" t="n">
        <f aca="false">ROUND(AVERAGE(U24,R24,P24,N24,L24),0)</f>
        <v>6</v>
      </c>
      <c r="W24" s="1" t="n">
        <f aca="false">ROUND(AVERAGE(C24,E24,J24,N24,P24,R24,S24),0)</f>
        <v>7</v>
      </c>
      <c r="X24" s="1" t="s">
        <v>20</v>
      </c>
      <c r="Y24" s="1" t="n">
        <v>7</v>
      </c>
      <c r="Z24" s="1" t="n">
        <v>1</v>
      </c>
      <c r="AB24" s="1" t="s">
        <v>172</v>
      </c>
      <c r="AC24" s="1" t="n">
        <v>1</v>
      </c>
      <c r="AE24" s="1" t="n">
        <v>7</v>
      </c>
      <c r="AG24" s="1" t="n">
        <f aca="false">AE24+AF24/2</f>
        <v>7</v>
      </c>
      <c r="AI24" s="9" t="n">
        <f aca="false">ROUND(AVERAGE(Y24,Z24,AC24,AG24),0)</f>
        <v>4</v>
      </c>
      <c r="AQ24" s="9" t="n">
        <f aca="false">ROUND(AVERAGE(V24,AI24),0)</f>
        <v>5</v>
      </c>
      <c r="AR24" s="9" t="n">
        <v>10</v>
      </c>
      <c r="AS24" s="1" t="n">
        <f aca="false">ROUND(AVERAGE(C24,E24,G24,P24,Y24,Z24,AC24),0)</f>
        <v>5</v>
      </c>
      <c r="AT24" s="9" t="n">
        <f aca="false">ROUND(AS24*6/10,0)</f>
        <v>3</v>
      </c>
      <c r="AU24" s="1" t="s">
        <v>158</v>
      </c>
      <c r="AV24" s="21" t="s">
        <v>158</v>
      </c>
    </row>
    <row r="25" s="1" customFormat="true" ht="15.65" hidden="true" customHeight="false" outlineLevel="0" collapsed="false">
      <c r="A25" s="1" t="n">
        <v>15</v>
      </c>
      <c r="B25" s="3" t="s">
        <v>70</v>
      </c>
      <c r="C25" s="1" t="n">
        <v>10</v>
      </c>
      <c r="E25" s="1" t="n">
        <v>8</v>
      </c>
      <c r="F25" s="7" t="n">
        <v>45784</v>
      </c>
      <c r="G25" s="1" t="n">
        <v>7</v>
      </c>
      <c r="I25" s="1" t="n">
        <v>2</v>
      </c>
      <c r="J25" s="1" t="n">
        <f aca="false">I25/2+G25</f>
        <v>8</v>
      </c>
      <c r="L25" s="9" t="n">
        <f aca="false">ROUND(AVERAGE(C25,E25,J25),0)</f>
        <v>9</v>
      </c>
      <c r="M25" s="9" t="str">
        <f aca="false">IF(L25&gt;6,"TEA","TEP")</f>
        <v>TEA</v>
      </c>
      <c r="N25" s="1" t="n">
        <f aca="false">ROUND(MAX(M26,L26),0)</f>
        <v>9</v>
      </c>
      <c r="P25" s="1" t="n">
        <v>9</v>
      </c>
      <c r="R25" s="1" t="n">
        <v>5.25</v>
      </c>
      <c r="S25" s="1" t="n">
        <v>10</v>
      </c>
      <c r="U25" s="1" t="n">
        <f aca="false">S25+T25/2</f>
        <v>10</v>
      </c>
      <c r="V25" s="9" t="n">
        <f aca="false">ROUND(AVERAGE(U25,R25,P25,N25,L25),0)</f>
        <v>8</v>
      </c>
      <c r="W25" s="1" t="n">
        <f aca="false">ROUND(AVERAGE(C25,E25,J25,N25,P25,R25,S25),0)</f>
        <v>8</v>
      </c>
      <c r="Y25" s="1" t="n">
        <v>1</v>
      </c>
      <c r="Z25" s="1" t="n">
        <v>2</v>
      </c>
      <c r="AA25" s="1" t="s">
        <v>173</v>
      </c>
      <c r="AB25" s="1" t="s">
        <v>153</v>
      </c>
      <c r="AC25" s="1" t="n">
        <v>5</v>
      </c>
      <c r="AD25" s="1" t="s">
        <v>149</v>
      </c>
      <c r="AE25" s="1" t="n">
        <v>8</v>
      </c>
      <c r="AG25" s="1" t="n">
        <f aca="false">AE25+AF25/2</f>
        <v>8</v>
      </c>
      <c r="AI25" s="9" t="n">
        <f aca="false">ROUND(AVERAGE(Y25,Z25,AC25,AG25),0)</f>
        <v>4</v>
      </c>
      <c r="AQ25" s="9" t="n">
        <f aca="false">ROUND(AVERAGE(V25,AI25),0)</f>
        <v>6</v>
      </c>
      <c r="AR25" s="9" t="n">
        <v>0</v>
      </c>
      <c r="AS25" s="1" t="n">
        <f aca="false">ROUND(AVERAGE(C25,E25,G25,P25,Y25,Z25,AC25),0)</f>
        <v>6</v>
      </c>
      <c r="AT25" s="9" t="n">
        <f aca="false">ROUND(AS25*6/10,0)</f>
        <v>4</v>
      </c>
      <c r="AU25" s="1" t="s">
        <v>152</v>
      </c>
      <c r="AV25" s="21"/>
    </row>
    <row r="26" s="1" customFormat="true" ht="15.65" hidden="true" customHeight="false" outlineLevel="0" collapsed="false">
      <c r="A26" s="1" t="n">
        <v>16</v>
      </c>
      <c r="B26" s="3" t="s">
        <v>73</v>
      </c>
      <c r="C26" s="1" t="n">
        <v>10</v>
      </c>
      <c r="E26" s="1" t="n">
        <v>8</v>
      </c>
      <c r="G26" s="1" t="n">
        <v>9</v>
      </c>
      <c r="I26" s="1" t="n">
        <v>1</v>
      </c>
      <c r="J26" s="1" t="n">
        <f aca="false">I26/2+G26</f>
        <v>9.5</v>
      </c>
      <c r="L26" s="9" t="n">
        <f aca="false">ROUND(AVERAGE(C26,E26,J26),0)</f>
        <v>9</v>
      </c>
      <c r="M26" s="9" t="str">
        <f aca="false">IF(L26&gt;6,"TEA","TEP")</f>
        <v>TEA</v>
      </c>
      <c r="N26" s="1" t="n">
        <v>1</v>
      </c>
      <c r="P26" s="1" t="n">
        <v>10</v>
      </c>
      <c r="R26" s="1" t="n">
        <v>8</v>
      </c>
      <c r="S26" s="1" t="n">
        <v>9</v>
      </c>
      <c r="U26" s="1" t="n">
        <f aca="false">S26+T26/2</f>
        <v>9</v>
      </c>
      <c r="V26" s="9" t="n">
        <f aca="false">ROUND(AVERAGE(U26,R26,P26,N26,L26),0)</f>
        <v>7</v>
      </c>
      <c r="W26" s="1" t="n">
        <f aca="false">ROUND(AVERAGE(C26,E26,J26,N26,P26,R26,S26),0)</f>
        <v>8</v>
      </c>
      <c r="Y26" s="1" t="n">
        <v>3</v>
      </c>
      <c r="Z26" s="1" t="n">
        <v>5</v>
      </c>
      <c r="AA26" s="1" t="s">
        <v>149</v>
      </c>
      <c r="AB26" s="1" t="s">
        <v>153</v>
      </c>
      <c r="AC26" s="1" t="n">
        <v>7</v>
      </c>
      <c r="AD26" s="1" t="s">
        <v>174</v>
      </c>
      <c r="AE26" s="1" t="n">
        <v>8</v>
      </c>
      <c r="AG26" s="1" t="n">
        <f aca="false">AE26+AF26/2</f>
        <v>8</v>
      </c>
      <c r="AH26" s="1" t="n">
        <v>10</v>
      </c>
      <c r="AI26" s="9" t="n">
        <f aca="false">ROUND(AVERAGE(Y26,Z26,AC26,AG26,AH26),0)</f>
        <v>7</v>
      </c>
      <c r="AQ26" s="9" t="n">
        <f aca="false">ROUND(AVERAGE(V26,AI26),0)</f>
        <v>7</v>
      </c>
      <c r="AR26" s="9"/>
      <c r="AT26" s="9"/>
      <c r="AV26" s="21"/>
    </row>
    <row r="27" s="1" customFormat="true" ht="15.65" hidden="true" customHeight="false" outlineLevel="0" collapsed="false">
      <c r="A27" s="1" t="n">
        <v>17</v>
      </c>
      <c r="B27" s="3" t="s">
        <v>76</v>
      </c>
      <c r="C27" s="1" t="n">
        <v>8</v>
      </c>
      <c r="E27" s="1" t="n">
        <v>9</v>
      </c>
      <c r="G27" s="1" t="n">
        <v>8</v>
      </c>
      <c r="H27" s="4" t="s">
        <v>175</v>
      </c>
      <c r="I27" s="1" t="n">
        <v>25</v>
      </c>
      <c r="J27" s="1" t="n">
        <f aca="false">I27/2+G27</f>
        <v>20.5</v>
      </c>
      <c r="K27" s="1" t="n">
        <v>10</v>
      </c>
      <c r="L27" s="9" t="n">
        <f aca="false">ROUND(AVERAGE(C27,E27,J27,K27),0)</f>
        <v>12</v>
      </c>
      <c r="M27" s="9" t="str">
        <f aca="false">IF(L27&gt;6,"TEA","TEP")</f>
        <v>TEA</v>
      </c>
      <c r="N27" s="1" t="n">
        <v>7</v>
      </c>
      <c r="P27" s="1" t="n">
        <v>1</v>
      </c>
      <c r="R27" s="1" t="n">
        <v>7</v>
      </c>
      <c r="S27" s="1" t="n">
        <v>6</v>
      </c>
      <c r="U27" s="1" t="n">
        <f aca="false">S27+T27/2</f>
        <v>6</v>
      </c>
      <c r="V27" s="9" t="n">
        <f aca="false">ROUND(AVERAGE(U27,R27,P27,N27,L27),0)</f>
        <v>7</v>
      </c>
      <c r="W27" s="1" t="n">
        <f aca="false">ROUND(AVERAGE(C27,E27,J27,N27,P27,R27,S27),0)</f>
        <v>8</v>
      </c>
      <c r="X27" s="1" t="s">
        <v>20</v>
      </c>
      <c r="Y27" s="1" t="n">
        <v>1</v>
      </c>
      <c r="Z27" s="1" t="n">
        <v>9</v>
      </c>
      <c r="AA27" s="1" t="s">
        <v>176</v>
      </c>
      <c r="AB27" s="1" t="s">
        <v>163</v>
      </c>
      <c r="AC27" s="1" t="n">
        <v>7</v>
      </c>
      <c r="AE27" s="1" t="n">
        <v>10</v>
      </c>
      <c r="AG27" s="1" t="n">
        <f aca="false">AE27+AF27/2</f>
        <v>10</v>
      </c>
      <c r="AI27" s="9" t="n">
        <f aca="false">ROUND(AVERAGE(Y27,Z27,AC27,AG27),0)</f>
        <v>7</v>
      </c>
      <c r="AL27" s="1" t="n">
        <v>8</v>
      </c>
      <c r="AQ27" s="9" t="n">
        <f aca="false">ROUND(AVERAGE(V27,AI27),0)</f>
        <v>7</v>
      </c>
      <c r="AR27" s="9"/>
      <c r="AT27" s="9"/>
      <c r="AV27" s="21"/>
    </row>
    <row r="28" s="1" customFormat="true" ht="15.65" hidden="true" customHeight="false" outlineLevel="0" collapsed="false">
      <c r="A28" s="1" t="n">
        <v>18</v>
      </c>
      <c r="B28" s="3" t="s">
        <v>79</v>
      </c>
      <c r="C28" s="1" t="n">
        <v>8</v>
      </c>
      <c r="E28" s="1" t="n">
        <v>10</v>
      </c>
      <c r="G28" s="1" t="n">
        <v>10</v>
      </c>
      <c r="I28" s="1" t="n">
        <v>2</v>
      </c>
      <c r="J28" s="1" t="n">
        <f aca="false">I28/2+G28</f>
        <v>11</v>
      </c>
      <c r="L28" s="9" t="n">
        <f aca="false">ROUND(AVERAGE(C28,E28,J28),0)</f>
        <v>10</v>
      </c>
      <c r="M28" s="9" t="str">
        <f aca="false">IF(L28&gt;6,"TEA","TEP")</f>
        <v>TEA</v>
      </c>
      <c r="N28" s="1" t="n">
        <v>10</v>
      </c>
      <c r="P28" s="1" t="n">
        <v>10</v>
      </c>
      <c r="R28" s="1" t="n">
        <v>5.5</v>
      </c>
      <c r="S28" s="1" t="n">
        <v>10</v>
      </c>
      <c r="U28" s="1" t="n">
        <f aca="false">S28+T28/2</f>
        <v>10</v>
      </c>
      <c r="V28" s="9" t="n">
        <f aca="false">ROUND(AVERAGE(U28,R28,P28,N28,L28),0)</f>
        <v>9</v>
      </c>
      <c r="W28" s="1" t="n">
        <f aca="false">ROUND(AVERAGE(C28,E28,J28,N28,P28,R28,S28),0)</f>
        <v>9</v>
      </c>
      <c r="Y28" s="1" t="n">
        <v>9</v>
      </c>
      <c r="Z28" s="1" t="n">
        <v>7</v>
      </c>
      <c r="AA28" s="1" t="s">
        <v>149</v>
      </c>
      <c r="AB28" s="1" t="s">
        <v>146</v>
      </c>
      <c r="AC28" s="1" t="n">
        <v>7</v>
      </c>
      <c r="AD28" s="22" t="s">
        <v>177</v>
      </c>
      <c r="AE28" s="22" t="n">
        <v>10</v>
      </c>
      <c r="AF28" s="22"/>
      <c r="AG28" s="1" t="n">
        <f aca="false">AE28+AF28/2</f>
        <v>10</v>
      </c>
      <c r="AH28" s="22"/>
      <c r="AI28" s="9" t="n">
        <f aca="false">ROUND(AVERAGE(Y28,Z28,AC28,AG28),0)</f>
        <v>8</v>
      </c>
      <c r="AJ28" s="22"/>
      <c r="AQ28" s="9" t="n">
        <f aca="false">ROUND(AVERAGE(V28,AI28),0)</f>
        <v>9</v>
      </c>
      <c r="AR28" s="9"/>
      <c r="AT28" s="9"/>
      <c r="AV28" s="21"/>
    </row>
    <row r="29" s="1" customFormat="true" ht="15.65" hidden="false" customHeight="false" outlineLevel="0" collapsed="false">
      <c r="A29" s="1" t="n">
        <v>19</v>
      </c>
      <c r="B29" s="3" t="s">
        <v>84</v>
      </c>
      <c r="C29" s="1" t="n">
        <v>1</v>
      </c>
      <c r="E29" s="1" t="n">
        <v>1</v>
      </c>
      <c r="G29" s="1" t="n">
        <v>1</v>
      </c>
      <c r="I29" s="1" t="n">
        <v>8</v>
      </c>
      <c r="J29" s="1" t="n">
        <f aca="false">I29/2+G29</f>
        <v>5</v>
      </c>
      <c r="L29" s="9" t="n">
        <f aca="false">ROUND(AVERAGE(C29,E29,J29),0)</f>
        <v>2</v>
      </c>
      <c r="M29" s="9" t="str">
        <f aca="false">IF(L29&gt;6,"TEA","TEP")</f>
        <v>TEP</v>
      </c>
      <c r="N29" s="23" t="n">
        <v>1</v>
      </c>
      <c r="P29" s="1" t="n">
        <v>1</v>
      </c>
      <c r="R29" s="1" t="n">
        <v>2.5</v>
      </c>
      <c r="S29" s="1" t="n">
        <v>9</v>
      </c>
      <c r="U29" s="1" t="n">
        <f aca="false">S29+T29/2</f>
        <v>9</v>
      </c>
      <c r="V29" s="9" t="n">
        <f aca="false">ROUND(AVERAGE(U29,R29,P29,N29,L29),0)</f>
        <v>3</v>
      </c>
      <c r="W29" s="1" t="n">
        <f aca="false">ROUND(AVERAGE(C29,E29,J29,N29,P29,R29,S29),0)</f>
        <v>3</v>
      </c>
      <c r="X29" s="1" t="s">
        <v>20</v>
      </c>
      <c r="Y29" s="1" t="n">
        <v>8</v>
      </c>
      <c r="Z29" s="21" t="n">
        <v>5</v>
      </c>
      <c r="AA29" s="1" t="s">
        <v>149</v>
      </c>
      <c r="AB29" s="1" t="s">
        <v>150</v>
      </c>
      <c r="AC29" s="23" t="n">
        <v>3</v>
      </c>
      <c r="AD29" s="1" t="s">
        <v>178</v>
      </c>
      <c r="AE29" s="1" t="n">
        <v>6</v>
      </c>
      <c r="AG29" s="1" t="n">
        <f aca="false">AE29+AF29/2</f>
        <v>6</v>
      </c>
      <c r="AI29" s="9" t="n">
        <f aca="false">ROUND(AVERAGE(Y29,Z29,AC29,AG29),0)</f>
        <v>6</v>
      </c>
      <c r="AL29" s="1" t="n">
        <v>9</v>
      </c>
      <c r="AQ29" s="9" t="n">
        <f aca="false">ROUND(AVERAGE(V29,AI29),0)</f>
        <v>5</v>
      </c>
      <c r="AR29" s="9" t="n">
        <v>0</v>
      </c>
      <c r="AS29" s="1" t="n">
        <f aca="false">ROUND(AVERAGE(C29,E29,G29,P29,Y29,Z29,AC29),0)</f>
        <v>3</v>
      </c>
      <c r="AT29" s="9" t="n">
        <f aca="false">ROUND(AS29*6/10,0)</f>
        <v>2</v>
      </c>
      <c r="AU29" s="1" t="s">
        <v>158</v>
      </c>
      <c r="AV29" s="21" t="s">
        <v>158</v>
      </c>
    </row>
    <row r="30" s="1" customFormat="true" ht="15.65" hidden="true" customHeight="false" outlineLevel="0" collapsed="false">
      <c r="A30" s="1" t="n">
        <v>20</v>
      </c>
      <c r="B30" s="3" t="s">
        <v>87</v>
      </c>
      <c r="C30" s="1" t="n">
        <v>9</v>
      </c>
      <c r="E30" s="1" t="n">
        <v>8</v>
      </c>
      <c r="G30" s="1" t="n">
        <v>7</v>
      </c>
      <c r="I30" s="1" t="n">
        <v>10</v>
      </c>
      <c r="J30" s="1" t="n">
        <f aca="false">I30/2+G30</f>
        <v>12</v>
      </c>
      <c r="L30" s="9" t="n">
        <f aca="false">ROUND(AVERAGE(C30,E30,J30),0)</f>
        <v>10</v>
      </c>
      <c r="M30" s="9" t="str">
        <f aca="false">IF(L30&gt;6,"TEA","TEP")</f>
        <v>TEA</v>
      </c>
      <c r="N30" s="1" t="n">
        <v>7</v>
      </c>
      <c r="P30" s="1" t="n">
        <v>7</v>
      </c>
      <c r="Q30" s="4" t="n">
        <v>45849</v>
      </c>
      <c r="R30" s="1" t="n">
        <v>8.25</v>
      </c>
      <c r="S30" s="1" t="n">
        <v>9</v>
      </c>
      <c r="U30" s="1" t="n">
        <f aca="false">S30+T30/2</f>
        <v>9</v>
      </c>
      <c r="V30" s="9" t="n">
        <f aca="false">ROUND(AVERAGE(U30,R30,P30,N30,L30),0)</f>
        <v>8</v>
      </c>
      <c r="W30" s="1" t="n">
        <f aca="false">ROUND(AVERAGE(C30,E30,J30,N30,P30,R30,S30),0)</f>
        <v>9</v>
      </c>
      <c r="Y30" s="1" t="n">
        <v>10</v>
      </c>
      <c r="Z30" s="1" t="n">
        <v>8</v>
      </c>
      <c r="AA30" s="1" t="s">
        <v>179</v>
      </c>
      <c r="AB30" s="1" t="s">
        <v>146</v>
      </c>
      <c r="AC30" s="1" t="n">
        <v>7</v>
      </c>
      <c r="AD30" s="1" t="s">
        <v>180</v>
      </c>
      <c r="AE30" s="1" t="n">
        <v>8</v>
      </c>
      <c r="AG30" s="1" t="n">
        <f aca="false">AE30+AF30/2</f>
        <v>8</v>
      </c>
      <c r="AI30" s="9" t="n">
        <f aca="false">ROUND(AVERAGE(Y30,Z30,AC30,AG30),0)</f>
        <v>8</v>
      </c>
      <c r="AQ30" s="9" t="n">
        <f aca="false">ROUND(AVERAGE(V30,AI30),0)</f>
        <v>8</v>
      </c>
      <c r="AR30" s="9"/>
      <c r="AT30" s="9"/>
    </row>
    <row r="31" s="1" customFormat="true" ht="15.65" hidden="true" customHeight="false" outlineLevel="0" collapsed="false">
      <c r="A31" s="1" t="n">
        <v>21</v>
      </c>
      <c r="B31" s="3" t="s">
        <v>90</v>
      </c>
      <c r="C31" s="1" t="n">
        <v>10</v>
      </c>
      <c r="E31" s="1" t="n">
        <v>10</v>
      </c>
      <c r="G31" s="1" t="n">
        <v>9</v>
      </c>
      <c r="I31" s="1" t="n">
        <v>20</v>
      </c>
      <c r="J31" s="1" t="n">
        <f aca="false">I31/2+G31</f>
        <v>19</v>
      </c>
      <c r="L31" s="9" t="n">
        <f aca="false">ROUND(AVERAGE(C31,E31,J31),0)</f>
        <v>13</v>
      </c>
      <c r="M31" s="9" t="str">
        <f aca="false">IF(L31&gt;6,"TEA","TEP")</f>
        <v>TEA</v>
      </c>
      <c r="N31" s="1" t="n">
        <v>8.67</v>
      </c>
      <c r="P31" s="1" t="n">
        <v>1</v>
      </c>
      <c r="R31" s="1" t="n">
        <v>7.75</v>
      </c>
      <c r="S31" s="1" t="n">
        <v>10</v>
      </c>
      <c r="U31" s="1" t="n">
        <f aca="false">S31+T31/2</f>
        <v>10</v>
      </c>
      <c r="V31" s="9" t="n">
        <f aca="false">ROUND(AVERAGE(U31,R31,P31,N31,L31),0)</f>
        <v>8</v>
      </c>
      <c r="W31" s="1" t="n">
        <f aca="false">ROUND(AVERAGE(C31,E31,J31,N31,P31,R31,S31),0)</f>
        <v>9</v>
      </c>
      <c r="Y31" s="1" t="n">
        <v>10</v>
      </c>
      <c r="Z31" s="1" t="n">
        <v>10</v>
      </c>
      <c r="AB31" s="1" t="s">
        <v>163</v>
      </c>
      <c r="AC31" s="1" t="n">
        <v>7</v>
      </c>
      <c r="AD31" s="1" t="s">
        <v>181</v>
      </c>
      <c r="AE31" s="1" t="n">
        <v>10</v>
      </c>
      <c r="AG31" s="1" t="n">
        <f aca="false">AE31+AF31/2</f>
        <v>10</v>
      </c>
      <c r="AI31" s="9" t="n">
        <f aca="false">ROUND(AVERAGE(Y31,Z31,AC31,AG31),0)</f>
        <v>9</v>
      </c>
      <c r="AL31" s="1" t="n">
        <v>8</v>
      </c>
      <c r="AQ31" s="9" t="n">
        <f aca="false">ROUND(AVERAGE(V31,AI31),0)</f>
        <v>9</v>
      </c>
      <c r="AR31" s="9"/>
      <c r="AT31" s="9"/>
    </row>
    <row r="32" s="1" customFormat="true" ht="15.65" hidden="true" customHeight="false" outlineLevel="0" collapsed="false">
      <c r="A32" s="1" t="n">
        <v>22</v>
      </c>
      <c r="B32" s="3" t="s">
        <v>93</v>
      </c>
      <c r="C32" s="1" t="n">
        <v>10</v>
      </c>
      <c r="E32" s="1" t="n">
        <v>10</v>
      </c>
      <c r="G32" s="1" t="n">
        <v>10</v>
      </c>
      <c r="I32" s="1" t="n">
        <v>97</v>
      </c>
      <c r="J32" s="1" t="n">
        <f aca="false">I32/2+G32</f>
        <v>58.5</v>
      </c>
      <c r="L32" s="9" t="n">
        <f aca="false">ROUND(AVERAGE(C32,E32,J32),0)</f>
        <v>26</v>
      </c>
      <c r="M32" s="9" t="str">
        <f aca="false">IF(L32&gt;6,"TEA","TEP")</f>
        <v>TEA</v>
      </c>
      <c r="N32" s="1" t="n">
        <v>8.33</v>
      </c>
      <c r="P32" s="1" t="n">
        <v>9</v>
      </c>
      <c r="R32" s="1" t="n">
        <v>8.75</v>
      </c>
      <c r="S32" s="1" t="n">
        <v>10</v>
      </c>
      <c r="U32" s="1" t="n">
        <f aca="false">S32+T32/2</f>
        <v>10</v>
      </c>
      <c r="V32" s="9" t="n">
        <f aca="false">ROUND(AVERAGE(U32,R32,P32,N32,L32),0)</f>
        <v>12</v>
      </c>
      <c r="W32" s="1" t="n">
        <f aca="false">ROUND(AVERAGE(C32,E32,J32,N32,P32,R32,S32),0)</f>
        <v>16</v>
      </c>
      <c r="Y32" s="1" t="n">
        <v>10</v>
      </c>
      <c r="Z32" s="1" t="n">
        <v>10</v>
      </c>
      <c r="AB32" s="1" t="s">
        <v>164</v>
      </c>
      <c r="AC32" s="1" t="n">
        <v>10</v>
      </c>
      <c r="AE32" s="1" t="n">
        <v>8</v>
      </c>
      <c r="AG32" s="1" t="n">
        <f aca="false">AE32+AF32/2</f>
        <v>8</v>
      </c>
      <c r="AI32" s="9" t="n">
        <f aca="false">ROUND(AVERAGE(Y32,Z32,AC32,AG32),0)</f>
        <v>10</v>
      </c>
      <c r="AQ32" s="9" t="n">
        <f aca="false">ROUND(AVERAGE(V32,AI32),0)</f>
        <v>11</v>
      </c>
      <c r="AR32" s="9"/>
      <c r="AT32" s="9"/>
    </row>
    <row r="33" s="1" customFormat="true" ht="15.65" hidden="true" customHeight="false" outlineLevel="0" collapsed="false">
      <c r="A33" s="1" t="n">
        <v>23</v>
      </c>
      <c r="B33" s="3" t="s">
        <v>96</v>
      </c>
      <c r="C33" s="1" t="n">
        <v>9</v>
      </c>
      <c r="E33" s="1" t="n">
        <v>9</v>
      </c>
      <c r="G33" s="1" t="n">
        <v>10</v>
      </c>
      <c r="I33" s="1" t="n">
        <v>103</v>
      </c>
      <c r="J33" s="1" t="n">
        <f aca="false">I33/2+G33</f>
        <v>61.5</v>
      </c>
      <c r="K33" s="1" t="n">
        <v>10</v>
      </c>
      <c r="L33" s="9" t="n">
        <f aca="false">ROUND(AVERAGE(C33,E33,J33,K33),0)</f>
        <v>22</v>
      </c>
      <c r="M33" s="9" t="str">
        <f aca="false">IF(L33&gt;6,"TEA","TEP")</f>
        <v>TEA</v>
      </c>
      <c r="N33" s="1" t="n">
        <f aca="false">ROUND(MAX(M35,L35),0)</f>
        <v>8</v>
      </c>
      <c r="P33" s="1" t="n">
        <v>10</v>
      </c>
      <c r="R33" s="1" t="n">
        <v>9.5</v>
      </c>
      <c r="S33" s="1" t="n">
        <v>10</v>
      </c>
      <c r="U33" s="1" t="n">
        <f aca="false">S33+T33/2</f>
        <v>10</v>
      </c>
      <c r="V33" s="9" t="n">
        <f aca="false">ROUND(AVERAGE(U33,R33,P33,N33,L33),0)</f>
        <v>12</v>
      </c>
      <c r="W33" s="1" t="n">
        <f aca="false">ROUND(AVERAGE(C33,E33,J33,N33,P33,R33,S33),0)</f>
        <v>17</v>
      </c>
      <c r="Y33" s="1" t="n">
        <v>10</v>
      </c>
      <c r="Z33" s="1" t="n">
        <v>10</v>
      </c>
      <c r="AB33" s="1" t="s">
        <v>164</v>
      </c>
      <c r="AC33" s="1" t="n">
        <v>10</v>
      </c>
      <c r="AE33" s="1" t="n">
        <v>8</v>
      </c>
      <c r="AG33" s="1" t="n">
        <f aca="false">AE33+AF33/2</f>
        <v>8</v>
      </c>
      <c r="AI33" s="9" t="n">
        <f aca="false">ROUND(AVERAGE(Y33,Z33,AC33,AG33),0)</f>
        <v>10</v>
      </c>
      <c r="AQ33" s="9" t="n">
        <f aca="false">ROUND(AVERAGE(V33,AI33),0)</f>
        <v>11</v>
      </c>
      <c r="AR33" s="9"/>
      <c r="AT33" s="9"/>
    </row>
    <row r="34" s="1" customFormat="true" ht="15.65" hidden="true" customHeight="false" outlineLevel="0" collapsed="false">
      <c r="A34" s="1" t="n">
        <v>24</v>
      </c>
      <c r="B34" s="3" t="s">
        <v>99</v>
      </c>
      <c r="C34" s="1" t="n">
        <v>8</v>
      </c>
      <c r="E34" s="1" t="n">
        <v>10</v>
      </c>
      <c r="G34" s="1" t="n">
        <v>7</v>
      </c>
      <c r="I34" s="1" t="n">
        <v>14</v>
      </c>
      <c r="J34" s="1" t="n">
        <f aca="false">I34/2+G34</f>
        <v>14</v>
      </c>
      <c r="L34" s="9" t="n">
        <f aca="false">ROUND(AVERAGE(C34,E34,J34),0)</f>
        <v>11</v>
      </c>
      <c r="M34" s="9" t="str">
        <f aca="false">IF(L34&gt;6,"TEA","TEP")</f>
        <v>TEA</v>
      </c>
      <c r="N34" s="1" t="n">
        <v>9</v>
      </c>
      <c r="P34" s="1" t="n">
        <v>6</v>
      </c>
      <c r="Q34" s="4" t="n">
        <v>45849</v>
      </c>
      <c r="R34" s="1" t="n">
        <v>9</v>
      </c>
      <c r="S34" s="1" t="n">
        <v>9</v>
      </c>
      <c r="U34" s="1" t="n">
        <f aca="false">S34+T34/2</f>
        <v>9</v>
      </c>
      <c r="V34" s="9" t="n">
        <f aca="false">ROUND(AVERAGE(U34,R34,P34,N34,L34),0)</f>
        <v>9</v>
      </c>
      <c r="W34" s="1" t="n">
        <f aca="false">ROUND(AVERAGE(C34,E34,J34,N34,P34,R34,S34),0)</f>
        <v>9</v>
      </c>
      <c r="Y34" s="1" t="n">
        <v>10</v>
      </c>
      <c r="Z34" s="1" t="n">
        <v>10</v>
      </c>
      <c r="AB34" s="1" t="s">
        <v>163</v>
      </c>
      <c r="AC34" s="1" t="n">
        <v>7</v>
      </c>
      <c r="AE34" s="1" t="n">
        <v>8</v>
      </c>
      <c r="AG34" s="1" t="n">
        <f aca="false">AE34+AF34/2</f>
        <v>8</v>
      </c>
      <c r="AI34" s="9" t="n">
        <f aca="false">ROUND(AVERAGE(Y34,Z34,AC34,AG34),0)</f>
        <v>9</v>
      </c>
      <c r="AL34" s="1" t="n">
        <v>8</v>
      </c>
      <c r="AQ34" s="9" t="n">
        <f aca="false">ROUND(AVERAGE(V34,AI34),0)</f>
        <v>9</v>
      </c>
      <c r="AR34" s="9"/>
      <c r="AT34" s="9"/>
    </row>
    <row r="35" s="1" customFormat="true" ht="15.65" hidden="true" customHeight="false" outlineLevel="0" collapsed="false">
      <c r="A35" s="1" t="n">
        <v>25</v>
      </c>
      <c r="B35" s="3" t="s">
        <v>102</v>
      </c>
      <c r="C35" s="1" t="n">
        <v>10</v>
      </c>
      <c r="E35" s="3" t="n">
        <v>7</v>
      </c>
      <c r="F35" s="4" t="n">
        <v>45994</v>
      </c>
      <c r="G35" s="1" t="n">
        <v>7</v>
      </c>
      <c r="H35" s="4" t="n">
        <v>46001</v>
      </c>
      <c r="I35" s="1" t="n">
        <v>0</v>
      </c>
      <c r="J35" s="1" t="n">
        <f aca="false">I35/2+G35</f>
        <v>7</v>
      </c>
      <c r="L35" s="9" t="n">
        <f aca="false">ROUND(AVERAGE(C35,E35,J35),0)</f>
        <v>8</v>
      </c>
      <c r="M35" s="9" t="str">
        <f aca="false">IF(L35&gt;6,"TEA","TEP")</f>
        <v>TEA</v>
      </c>
      <c r="N35" s="1" t="n">
        <v>9</v>
      </c>
      <c r="P35" s="1" t="n">
        <v>8</v>
      </c>
      <c r="R35" s="1" t="n">
        <v>1</v>
      </c>
      <c r="S35" s="1" t="n">
        <v>6</v>
      </c>
      <c r="U35" s="1" t="n">
        <f aca="false">S35+T35/2</f>
        <v>6</v>
      </c>
      <c r="V35" s="9" t="n">
        <f aca="false">ROUND(AVERAGE(U35,R35,P35,N35,L35),0)</f>
        <v>6</v>
      </c>
      <c r="W35" s="1" t="n">
        <f aca="false">ROUND(AVERAGE(C35,E35,J35,N35,P35,R35,S35),0)</f>
        <v>7</v>
      </c>
      <c r="X35" s="1" t="s">
        <v>20</v>
      </c>
      <c r="Y35" s="1" t="n">
        <v>8</v>
      </c>
      <c r="Z35" s="1" t="n">
        <v>8</v>
      </c>
      <c r="AA35" s="4" t="n">
        <v>46001</v>
      </c>
      <c r="AB35" s="1" t="s">
        <v>153</v>
      </c>
      <c r="AC35" s="1" t="n">
        <v>7</v>
      </c>
      <c r="AD35" s="4" t="n">
        <v>46001</v>
      </c>
      <c r="AE35" s="1" t="n">
        <v>8</v>
      </c>
      <c r="AG35" s="1" t="n">
        <f aca="false">AE35+AF35/2</f>
        <v>8</v>
      </c>
      <c r="AI35" s="9" t="n">
        <f aca="false">ROUND(AVERAGE(Y35,Z35,AC35,AG35),0)</f>
        <v>8</v>
      </c>
      <c r="AQ35" s="9" t="n">
        <f aca="false">ROUND(AVERAGE(V35,AI35),0)</f>
        <v>7</v>
      </c>
      <c r="AR35" s="9" t="n">
        <v>10</v>
      </c>
      <c r="AS35" s="1" t="n">
        <f aca="false">ROUND(AVERAGE(C35,E35,G35,P35,Y35,Z35,AC35),0)</f>
        <v>8</v>
      </c>
      <c r="AT35" s="9" t="n">
        <f aca="false">ROUND(AS35*6/10,0)</f>
        <v>5</v>
      </c>
      <c r="AU35" s="1" t="s">
        <v>152</v>
      </c>
    </row>
  </sheetData>
  <conditionalFormatting sqref="L10:L35">
    <cfRule type="cellIs" priority="2" operator="lessThan" aboveAverage="0" equalAverage="0" bottom="0" percent="0" rank="0" text="" dxfId="6">
      <formula>7</formula>
    </cfRule>
  </conditionalFormatting>
  <conditionalFormatting sqref="M10:M35">
    <cfRule type="cellIs" priority="3" operator="equal" aboveAverage="0" equalAverage="0" bottom="0" percent="0" rank="0" text="" dxfId="6">
      <formula>"TEP"</formula>
    </cfRule>
  </conditionalFormatting>
  <conditionalFormatting sqref="AI10">
    <cfRule type="cellIs" priority="4" operator="greaterThan" aboveAverage="0" equalAverage="0" bottom="0" percent="0" rank="0" text="" dxfId="0">
      <formula>6</formula>
    </cfRule>
    <cfRule type="cellIs" priority="5" operator="between" aboveAverage="0" equalAverage="0" bottom="0" percent="0" rank="0" text="" dxfId="1">
      <formula>4</formula>
      <formula>6</formula>
    </cfRule>
    <cfRule type="cellIs" priority="6" operator="lessThan" aboveAverage="0" equalAverage="0" bottom="0" percent="0" rank="0" text="" dxfId="2">
      <formula>4</formula>
    </cfRule>
  </conditionalFormatting>
  <conditionalFormatting sqref="AI11:AI35">
    <cfRule type="cellIs" priority="7" operator="greaterThan" aboveAverage="0" equalAverage="0" bottom="0" percent="0" rank="0" text="" dxfId="0">
      <formula>6</formula>
    </cfRule>
    <cfRule type="cellIs" priority="8" operator="between" aboveAverage="0" equalAverage="0" bottom="0" percent="0" rank="0" text="" dxfId="1">
      <formula>4</formula>
      <formula>6</formula>
    </cfRule>
    <cfRule type="cellIs" priority="9" operator="lessThan" aboveAverage="0" equalAverage="0" bottom="0" percent="0" rank="0" text="" dxfId="2">
      <formula>4</formula>
    </cfRule>
  </conditionalFormatting>
  <conditionalFormatting sqref="AQ10:AR35">
    <cfRule type="cellIs" priority="10" operator="greaterThan" aboveAverage="0" equalAverage="0" bottom="0" percent="0" rank="0" text="" dxfId="7">
      <formula>6</formula>
    </cfRule>
    <cfRule type="cellIs" priority="11" operator="between" aboveAverage="0" equalAverage="0" bottom="0" percent="0" rank="0" text="" dxfId="8">
      <formula>4</formula>
      <formula>6</formula>
    </cfRule>
    <cfRule type="cellIs" priority="12" operator="lessThan" aboveAverage="0" equalAverage="0" bottom="0" percent="0" rank="0" text="" dxfId="9">
      <formula>4</formula>
    </cfRule>
  </conditionalFormatting>
  <conditionalFormatting sqref="V10:V35">
    <cfRule type="cellIs" priority="13" operator="greaterThan" aboveAverage="0" equalAverage="0" bottom="0" percent="0" rank="0" text="" dxfId="10">
      <formula>6</formula>
    </cfRule>
    <cfRule type="cellIs" priority="14" operator="between" aboveAverage="0" equalAverage="0" bottom="0" percent="0" rank="0" text="" dxfId="8">
      <formula>7</formula>
      <formula>4</formula>
    </cfRule>
    <cfRule type="cellIs" priority="15" operator="lessThan" aboveAverage="0" equalAverage="0" bottom="0" percent="0" rank="0" text="" dxfId="9">
      <formula>4</formula>
    </cfRule>
  </conditionalFormatting>
  <conditionalFormatting sqref="C11:C35">
    <cfRule type="cellIs" priority="16" operator="lessThan" aboveAverage="0" equalAverage="0" bottom="0" percent="0" rank="0" text="" dxfId="4">
      <formula>7</formula>
    </cfRule>
  </conditionalFormatting>
  <conditionalFormatting sqref="E11:E35">
    <cfRule type="cellIs" priority="17" operator="lessThan" aboveAverage="0" equalAverage="0" bottom="0" percent="0" rank="0" text="" dxfId="4">
      <formula>7</formula>
    </cfRule>
  </conditionalFormatting>
  <conditionalFormatting sqref="G11:G35">
    <cfRule type="cellIs" priority="18" operator="lessThan" aboveAverage="0" equalAverage="0" bottom="0" percent="0" rank="0" text="" dxfId="4">
      <formula>7</formula>
    </cfRule>
  </conditionalFormatting>
  <conditionalFormatting sqref="P11:P35">
    <cfRule type="cellIs" priority="19" operator="lessThan" aboveAverage="0" equalAverage="0" bottom="0" percent="0" rank="0" text="" dxfId="4">
      <formula>7</formula>
    </cfRule>
    <cfRule type="cellIs" priority="20" operator="lessThan" aboveAverage="0" equalAverage="0" bottom="0" percent="0" rank="0" text="" dxfId="4">
      <formula>7</formula>
    </cfRule>
    <cfRule type="cellIs" priority="21" operator="lessThan" aboveAverage="0" equalAverage="0" bottom="0" percent="0" rank="0" text="" dxfId="4">
      <formula>7</formula>
    </cfRule>
  </conditionalFormatting>
  <conditionalFormatting sqref="AT11:AT35">
    <cfRule type="cellIs" priority="22" operator="greaterThan" aboveAverage="0" equalAverage="0" bottom="0" percent="0" rank="0" text="" dxfId="11">
      <formula>3</formula>
    </cfRule>
    <cfRule type="cellIs" priority="23" operator="lessThan" aboveAverage="0" equalAverage="0" bottom="0" percent="0" rank="0" text="" dxfId="12">
      <formula>4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7"/>
  <sheetViews>
    <sheetView showFormulas="false" showGridLines="true" showRowColHeaders="true" showZeros="true" rightToLeft="false" tabSelected="false" showOutlineSymbols="true" defaultGridColor="true" view="normal" topLeftCell="B1" colorId="64" zoomScale="80" zoomScaleNormal="80" zoomScalePageLayoutView="100" workbookViewId="0">
      <selection pane="topLeft" activeCell="U11" activeCellId="0" sqref="U11"/>
    </sheetView>
  </sheetViews>
  <sheetFormatPr defaultColWidth="9.6796875" defaultRowHeight="15" zeroHeight="false" outlineLevelRow="0" outlineLevelCol="0"/>
  <cols>
    <col collapsed="false" customWidth="true" hidden="false" outlineLevel="0" max="2" min="2" style="1" width="18.69"/>
    <col collapsed="false" customWidth="true" hidden="true" outlineLevel="0" max="6" min="3" style="1" width="9.51"/>
    <col collapsed="false" customWidth="false" hidden="true" outlineLevel="0" max="8" min="7" style="1" width="9.68"/>
    <col collapsed="false" customWidth="true" hidden="true" outlineLevel="0" max="9" min="9" style="1" width="13.38"/>
    <col collapsed="false" customWidth="false" hidden="true" outlineLevel="0" max="15" min="10" style="1" width="9.68"/>
    <col collapsed="false" customWidth="false" hidden="false" outlineLevel="0" max="18" min="18" style="2" width="9.68"/>
    <col collapsed="false" customWidth="true" hidden="false" outlineLevel="0" max="1024" min="1018" style="1" width="9.33"/>
  </cols>
  <sheetData>
    <row r="1" customFormat="false" ht="15" hidden="false" customHeight="false" outlineLevel="0" collapsed="false">
      <c r="A1" s="1" t="s">
        <v>112</v>
      </c>
      <c r="B1" s="3" t="s">
        <v>5</v>
      </c>
      <c r="C1" s="4" t="n">
        <v>45735</v>
      </c>
      <c r="D1" s="4" t="n">
        <v>45742</v>
      </c>
      <c r="E1" s="4" t="n">
        <v>45763</v>
      </c>
      <c r="F1" s="4" t="n">
        <v>45770</v>
      </c>
      <c r="G1" s="1" t="s">
        <v>2</v>
      </c>
      <c r="H1" s="1" t="s">
        <v>182</v>
      </c>
      <c r="I1" s="1" t="s">
        <v>183</v>
      </c>
      <c r="J1" s="4" t="n">
        <v>45777</v>
      </c>
      <c r="K1" s="4" t="n">
        <v>45791</v>
      </c>
      <c r="L1" s="4" t="n">
        <v>45812</v>
      </c>
      <c r="M1" s="4" t="n">
        <v>45833</v>
      </c>
      <c r="N1" s="4" t="n">
        <v>45840</v>
      </c>
      <c r="O1" s="4" t="s">
        <v>119</v>
      </c>
      <c r="P1" s="4" t="s">
        <v>184</v>
      </c>
      <c r="Q1" s="4" t="s">
        <v>185</v>
      </c>
      <c r="R1" s="12" t="s">
        <v>2</v>
      </c>
      <c r="S1" s="3" t="s">
        <v>186</v>
      </c>
      <c r="T1" s="3" t="s">
        <v>187</v>
      </c>
      <c r="U1" s="3" t="s">
        <v>188</v>
      </c>
    </row>
    <row r="2" customFormat="false" ht="15" hidden="false" customHeight="false" outlineLevel="0" collapsed="false">
      <c r="A2" s="1" t="n">
        <v>1</v>
      </c>
      <c r="B2" s="3" t="s">
        <v>17</v>
      </c>
      <c r="E2" s="1" t="n">
        <v>1</v>
      </c>
      <c r="F2" s="1" t="n">
        <v>1</v>
      </c>
      <c r="G2" s="1" t="n">
        <f aca="false">SUM(C2:F2)</f>
        <v>2</v>
      </c>
      <c r="I2" s="1" t="n">
        <f aca="false">G2+H2</f>
        <v>2</v>
      </c>
      <c r="O2" s="24" t="n">
        <f aca="false">SUM(N2,M2,L2,K2,J2,I2,H2,G2)</f>
        <v>4</v>
      </c>
    </row>
    <row r="3" customFormat="false" ht="15" hidden="false" customHeight="false" outlineLevel="0" collapsed="false">
      <c r="A3" s="1" t="n">
        <v>2</v>
      </c>
      <c r="B3" s="3" t="s">
        <v>23</v>
      </c>
      <c r="G3" s="1" t="n">
        <f aca="false">SUM(C3:F3)</f>
        <v>0</v>
      </c>
      <c r="I3" s="1" t="n">
        <f aca="false">G3+H3</f>
        <v>0</v>
      </c>
      <c r="O3" s="24" t="n">
        <f aca="false">SUM(N3,M3,L3,K3,J3,I3,H3,G3)</f>
        <v>0</v>
      </c>
    </row>
    <row r="4" customFormat="false" ht="15" hidden="false" customHeight="false" outlineLevel="0" collapsed="false">
      <c r="A4" s="1" t="n">
        <v>3</v>
      </c>
      <c r="B4" s="3" t="s">
        <v>26</v>
      </c>
      <c r="D4" s="1" t="n">
        <v>3</v>
      </c>
      <c r="E4" s="1" t="n">
        <v>10</v>
      </c>
      <c r="F4" s="1" t="n">
        <v>1</v>
      </c>
      <c r="G4" s="1" t="n">
        <f aca="false">SUM(C4:F4)</f>
        <v>14</v>
      </c>
      <c r="I4" s="1" t="n">
        <f aca="false">G4+H4</f>
        <v>14</v>
      </c>
      <c r="J4" s="1" t="n">
        <v>5</v>
      </c>
      <c r="O4" s="24" t="n">
        <f aca="false">SUM(N4,M4,L4,K4,J4,I4,H4,G4)</f>
        <v>33</v>
      </c>
    </row>
    <row r="5" customFormat="false" ht="15" hidden="false" customHeight="false" outlineLevel="0" collapsed="false">
      <c r="A5" s="1" t="n">
        <v>4</v>
      </c>
      <c r="B5" s="3" t="s">
        <v>30</v>
      </c>
      <c r="E5" s="1" t="n">
        <v>5</v>
      </c>
      <c r="F5" s="1" t="n">
        <v>1</v>
      </c>
      <c r="G5" s="1" t="n">
        <f aca="false">SUM(C5:F5)</f>
        <v>6</v>
      </c>
      <c r="I5" s="1" t="n">
        <f aca="false">G5+H5</f>
        <v>6</v>
      </c>
      <c r="J5" s="1" t="n">
        <v>3</v>
      </c>
      <c r="O5" s="24" t="n">
        <f aca="false">SUM(N5,M5,L5,K5,J5,I5,H5,G5)</f>
        <v>15</v>
      </c>
      <c r="P5" s="1" t="n">
        <v>20</v>
      </c>
      <c r="R5" s="12" t="n">
        <f aca="false">SUM(P5:Q5)</f>
        <v>20</v>
      </c>
    </row>
    <row r="6" customFormat="false" ht="15" hidden="false" customHeight="false" outlineLevel="0" collapsed="false">
      <c r="A6" s="1" t="n">
        <v>5</v>
      </c>
      <c r="B6" s="3" t="s">
        <v>35</v>
      </c>
      <c r="E6" s="1" t="n">
        <v>2</v>
      </c>
      <c r="F6" s="1" t="n">
        <v>2</v>
      </c>
      <c r="G6" s="1" t="n">
        <f aca="false">SUM(C6:F6)</f>
        <v>4</v>
      </c>
      <c r="I6" s="1" t="n">
        <f aca="false">G6+H6</f>
        <v>4</v>
      </c>
      <c r="O6" s="24" t="n">
        <f aca="false">SUM(N6,M6,L6,K6,J6,I6,H6,G6)</f>
        <v>8</v>
      </c>
      <c r="R6" s="12" t="n">
        <f aca="false">SUM(P6:Q6)</f>
        <v>0</v>
      </c>
    </row>
    <row r="7" customFormat="false" ht="15" hidden="false" customHeight="false" outlineLevel="0" collapsed="false">
      <c r="A7" s="1" t="n">
        <v>6</v>
      </c>
      <c r="B7" s="3" t="s">
        <v>39</v>
      </c>
      <c r="G7" s="1" t="n">
        <f aca="false">SUM(C7:F7)</f>
        <v>0</v>
      </c>
      <c r="I7" s="1" t="n">
        <f aca="false">G7+H7</f>
        <v>0</v>
      </c>
      <c r="O7" s="24" t="n">
        <f aca="false">SUM(N7,M7,L7,K7,J7,I7,H7,G7)</f>
        <v>0</v>
      </c>
      <c r="R7" s="12" t="n">
        <f aca="false">SUM(P7:Q7)</f>
        <v>0</v>
      </c>
    </row>
    <row r="8" customFormat="false" ht="15" hidden="false" customHeight="false" outlineLevel="0" collapsed="false">
      <c r="A8" s="1" t="n">
        <v>7</v>
      </c>
      <c r="B8" s="3" t="s">
        <v>43</v>
      </c>
      <c r="D8" s="1" t="n">
        <v>5</v>
      </c>
      <c r="E8" s="1" t="n">
        <v>1</v>
      </c>
      <c r="F8" s="1" t="n">
        <v>3</v>
      </c>
      <c r="G8" s="1" t="n">
        <f aca="false">SUM(C8:F8)</f>
        <v>9</v>
      </c>
      <c r="I8" s="1" t="n">
        <f aca="false">G8+H8</f>
        <v>9</v>
      </c>
      <c r="J8" s="1" t="n">
        <v>3</v>
      </c>
      <c r="K8" s="1" t="n">
        <v>-1</v>
      </c>
      <c r="O8" s="24" t="n">
        <f aca="false">SUM(N8,M8,L8,K8,J8,I8,H8,G8)</f>
        <v>20</v>
      </c>
      <c r="R8" s="12" t="n">
        <f aca="false">SUM(P8:Q8)</f>
        <v>0</v>
      </c>
    </row>
    <row r="9" customFormat="false" ht="15" hidden="false" customHeight="false" outlineLevel="0" collapsed="false">
      <c r="A9" s="1" t="n">
        <v>8</v>
      </c>
      <c r="B9" s="3" t="s">
        <v>46</v>
      </c>
      <c r="E9" s="1" t="n">
        <v>6</v>
      </c>
      <c r="G9" s="1" t="n">
        <f aca="false">SUM(C9:F9)</f>
        <v>6</v>
      </c>
      <c r="I9" s="1" t="n">
        <f aca="false">G9+H9</f>
        <v>6</v>
      </c>
      <c r="O9" s="24" t="n">
        <f aca="false">SUM(N9,M9,L9,K9,J9,I9,H9,G9)</f>
        <v>12</v>
      </c>
      <c r="R9" s="12" t="n">
        <f aca="false">SUM(P9:Q9)</f>
        <v>0</v>
      </c>
    </row>
    <row r="10" customFormat="false" ht="15" hidden="false" customHeight="false" outlineLevel="0" collapsed="false">
      <c r="A10" s="1" t="n">
        <v>9</v>
      </c>
      <c r="B10" s="3" t="s">
        <v>49</v>
      </c>
      <c r="D10" s="1" t="n">
        <v>3</v>
      </c>
      <c r="E10" s="1" t="n">
        <v>7</v>
      </c>
      <c r="F10" s="1" t="n">
        <v>3</v>
      </c>
      <c r="G10" s="1" t="n">
        <f aca="false">SUM(C10:F10)</f>
        <v>13</v>
      </c>
      <c r="I10" s="1" t="n">
        <f aca="false">G10+H10</f>
        <v>13</v>
      </c>
      <c r="K10" s="1" t="n">
        <v>1</v>
      </c>
      <c r="L10" s="1" t="n">
        <v>6</v>
      </c>
      <c r="M10" s="1" t="n">
        <v>1</v>
      </c>
      <c r="N10" s="1" t="n">
        <v>1</v>
      </c>
      <c r="O10" s="24" t="n">
        <f aca="false">SUM(N10,M10,L10,K10,J10,I10,H10,G10)</f>
        <v>35</v>
      </c>
      <c r="P10" s="1" t="n">
        <v>10</v>
      </c>
      <c r="R10" s="12" t="n">
        <f aca="false">SUM(P10:Q10)</f>
        <v>10</v>
      </c>
    </row>
    <row r="11" customFormat="false" ht="15" hidden="false" customHeight="false" outlineLevel="0" collapsed="false">
      <c r="A11" s="1" t="n">
        <v>10</v>
      </c>
      <c r="B11" s="3" t="s">
        <v>52</v>
      </c>
      <c r="E11" s="1" t="n">
        <v>5</v>
      </c>
      <c r="F11" s="1" t="n">
        <v>1</v>
      </c>
      <c r="G11" s="1" t="n">
        <f aca="false">SUM(C11:F11)</f>
        <v>6</v>
      </c>
      <c r="I11" s="1" t="n">
        <f aca="false">G11+H11</f>
        <v>6</v>
      </c>
      <c r="J11" s="1" t="n">
        <v>2</v>
      </c>
      <c r="K11" s="1" t="n">
        <v>-1</v>
      </c>
      <c r="N11" s="1" t="n">
        <v>1</v>
      </c>
      <c r="O11" s="24" t="n">
        <f aca="false">SUM(N11,M11,L11,K11,J11,I11,H11,G11)</f>
        <v>14</v>
      </c>
      <c r="P11" s="1" t="n">
        <v>86</v>
      </c>
      <c r="R11" s="12" t="n">
        <f aca="false">SUM(P11:Q11)</f>
        <v>86</v>
      </c>
      <c r="S11" s="1" t="n">
        <v>-30</v>
      </c>
      <c r="T11" s="1" t="n">
        <v>-20</v>
      </c>
      <c r="U11" s="1" t="n">
        <v>-5</v>
      </c>
    </row>
    <row r="12" customFormat="false" ht="15" hidden="false" customHeight="false" outlineLevel="0" collapsed="false">
      <c r="A12" s="1" t="n">
        <v>11</v>
      </c>
      <c r="B12" s="3" t="s">
        <v>55</v>
      </c>
      <c r="C12" s="1" t="n">
        <v>1</v>
      </c>
      <c r="D12" s="1" t="n">
        <v>3</v>
      </c>
      <c r="E12" s="1" t="n">
        <v>5</v>
      </c>
      <c r="F12" s="1" t="n">
        <v>2</v>
      </c>
      <c r="G12" s="1" t="n">
        <f aca="false">SUM(C12:F12)</f>
        <v>11</v>
      </c>
      <c r="I12" s="1" t="n">
        <f aca="false">G12+H12</f>
        <v>11</v>
      </c>
      <c r="J12" s="1" t="n">
        <v>2</v>
      </c>
      <c r="K12" s="1" t="n">
        <v>-1</v>
      </c>
      <c r="N12" s="1" t="n">
        <v>1</v>
      </c>
      <c r="O12" s="24" t="n">
        <f aca="false">SUM(N12,M12,L12,K12,J12,I12,H12,G12)</f>
        <v>24</v>
      </c>
      <c r="R12" s="12" t="n">
        <f aca="false">SUM(P12:Q12)</f>
        <v>0</v>
      </c>
    </row>
    <row r="13" customFormat="false" ht="15" hidden="false" customHeight="false" outlineLevel="0" collapsed="false">
      <c r="A13" s="1" t="n">
        <v>12</v>
      </c>
      <c r="B13" s="3" t="s">
        <v>58</v>
      </c>
      <c r="G13" s="1" t="n">
        <f aca="false">SUM(C13:F13)</f>
        <v>0</v>
      </c>
      <c r="I13" s="1" t="n">
        <f aca="false">G13+H13</f>
        <v>0</v>
      </c>
      <c r="O13" s="24" t="n">
        <f aca="false">SUM(N13,M13,L13,K13,J13,I13,H13,G13)</f>
        <v>0</v>
      </c>
      <c r="P13" s="1" t="n">
        <v>60</v>
      </c>
      <c r="Q13" s="1" t="n">
        <v>10</v>
      </c>
      <c r="R13" s="12" t="n">
        <f aca="false">SUM(P13:Q13)</f>
        <v>70</v>
      </c>
      <c r="S13" s="1" t="n">
        <v>-20</v>
      </c>
      <c r="T13" s="1" t="n">
        <v>-20</v>
      </c>
    </row>
    <row r="14" customFormat="false" ht="15" hidden="false" customHeight="false" outlineLevel="0" collapsed="false">
      <c r="A14" s="1" t="n">
        <v>13</v>
      </c>
      <c r="B14" s="3" t="s">
        <v>61</v>
      </c>
      <c r="D14" s="1" t="n">
        <v>9</v>
      </c>
      <c r="E14" s="1" t="n">
        <v>10</v>
      </c>
      <c r="F14" s="1" t="n">
        <v>5</v>
      </c>
      <c r="G14" s="1" t="n">
        <f aca="false">SUM(C14:F14)</f>
        <v>24</v>
      </c>
      <c r="H14" s="1" t="n">
        <v>15</v>
      </c>
      <c r="I14" s="1" t="n">
        <f aca="false">G14+H14</f>
        <v>39</v>
      </c>
      <c r="J14" s="1" t="n">
        <v>9</v>
      </c>
      <c r="O14" s="24" t="n">
        <f aca="false">SUM(N14,M14,L14,K14,J14,I14,H14,G14)</f>
        <v>87</v>
      </c>
      <c r="P14" s="1" t="n">
        <v>36</v>
      </c>
      <c r="Q14" s="1" t="n">
        <v>10</v>
      </c>
      <c r="R14" s="12" t="n">
        <f aca="false">SUM(P14:Q14)</f>
        <v>46</v>
      </c>
      <c r="T14" s="1" t="n">
        <v>-9</v>
      </c>
    </row>
    <row r="15" customFormat="false" ht="15" hidden="false" customHeight="false" outlineLevel="0" collapsed="false">
      <c r="A15" s="1" t="n">
        <v>14</v>
      </c>
      <c r="B15" s="3" t="s">
        <v>64</v>
      </c>
      <c r="C15" s="1" t="n">
        <v>5</v>
      </c>
      <c r="D15" s="1" t="n">
        <v>4</v>
      </c>
      <c r="F15" s="1" t="n">
        <v>3</v>
      </c>
      <c r="G15" s="1" t="n">
        <f aca="false">SUM(C15:F15)</f>
        <v>12</v>
      </c>
      <c r="H15" s="1" t="n">
        <v>12</v>
      </c>
      <c r="I15" s="1" t="n">
        <f aca="false">G15+H15</f>
        <v>24</v>
      </c>
      <c r="J15" s="1" t="n">
        <v>10</v>
      </c>
      <c r="K15" s="1" t="n">
        <v>1</v>
      </c>
      <c r="L15" s="1" t="n">
        <v>3</v>
      </c>
      <c r="O15" s="24" t="n">
        <f aca="false">SUM(N15,M15,L15,K15,J15,I15,H15,G15)</f>
        <v>62</v>
      </c>
      <c r="P15" s="1" t="n">
        <v>66</v>
      </c>
      <c r="Q15" s="1" t="n">
        <v>10</v>
      </c>
      <c r="R15" s="12" t="n">
        <f aca="false">SUM(P15:Q15)</f>
        <v>76</v>
      </c>
    </row>
    <row r="16" customFormat="false" ht="15" hidden="false" customHeight="false" outlineLevel="0" collapsed="false">
      <c r="A16" s="1" t="n">
        <v>15</v>
      </c>
      <c r="B16" s="3" t="s">
        <v>67</v>
      </c>
      <c r="F16" s="1" t="n">
        <v>1</v>
      </c>
      <c r="G16" s="1" t="n">
        <f aca="false">SUM(C16:F16)</f>
        <v>1</v>
      </c>
      <c r="I16" s="1" t="n">
        <f aca="false">G16+H16</f>
        <v>1</v>
      </c>
      <c r="L16" s="1" t="n">
        <v>1</v>
      </c>
      <c r="O16" s="24" t="n">
        <f aca="false">SUM(N16,M16,L16,K16,J16,I16,H16,G16)</f>
        <v>3</v>
      </c>
      <c r="R16" s="12" t="n">
        <f aca="false">SUM(P16:Q16)</f>
        <v>0</v>
      </c>
    </row>
    <row r="17" customFormat="false" ht="15" hidden="false" customHeight="false" outlineLevel="0" collapsed="false">
      <c r="A17" s="1" t="n">
        <v>16</v>
      </c>
      <c r="B17" s="3" t="s">
        <v>70</v>
      </c>
      <c r="D17" s="1" t="n">
        <v>1</v>
      </c>
      <c r="G17" s="1" t="n">
        <f aca="false">SUM(C17:F17)</f>
        <v>1</v>
      </c>
      <c r="I17" s="1" t="n">
        <f aca="false">G17+H17</f>
        <v>1</v>
      </c>
      <c r="O17" s="24" t="n">
        <f aca="false">SUM(N17,M17,L17,K17,J17,I17,H17,G17)</f>
        <v>2</v>
      </c>
      <c r="R17" s="12" t="n">
        <f aca="false">SUM(P17:Q17)</f>
        <v>0</v>
      </c>
    </row>
    <row r="18" customFormat="false" ht="15" hidden="false" customHeight="false" outlineLevel="0" collapsed="false">
      <c r="A18" s="1" t="n">
        <v>17</v>
      </c>
      <c r="B18" s="3" t="s">
        <v>73</v>
      </c>
      <c r="F18" s="1" t="n">
        <v>1</v>
      </c>
      <c r="G18" s="1" t="n">
        <f aca="false">SUM(C18:F18)</f>
        <v>1</v>
      </c>
      <c r="I18" s="1" t="n">
        <f aca="false">G18+H18</f>
        <v>1</v>
      </c>
      <c r="K18" s="1" t="n">
        <v>-1</v>
      </c>
      <c r="O18" s="24" t="n">
        <f aca="false">SUM(N18,M18,L18,K18,J18,I18,H18,G18)</f>
        <v>1</v>
      </c>
      <c r="R18" s="12" t="n">
        <f aca="false">SUM(P18:Q18)</f>
        <v>0</v>
      </c>
    </row>
    <row r="19" customFormat="false" ht="15" hidden="false" customHeight="false" outlineLevel="0" collapsed="false">
      <c r="A19" s="1" t="n">
        <v>18</v>
      </c>
      <c r="B19" s="3" t="s">
        <v>76</v>
      </c>
      <c r="C19" s="1" t="n">
        <v>4</v>
      </c>
      <c r="D19" s="1" t="n">
        <v>3</v>
      </c>
      <c r="F19" s="1" t="n">
        <v>1</v>
      </c>
      <c r="G19" s="1" t="n">
        <f aca="false">SUM(C19:F19)</f>
        <v>8</v>
      </c>
      <c r="I19" s="1" t="n">
        <f aca="false">G19+H19</f>
        <v>8</v>
      </c>
      <c r="J19" s="1" t="n">
        <v>1</v>
      </c>
      <c r="L19" s="1" t="n">
        <v>8</v>
      </c>
      <c r="O19" s="24" t="n">
        <f aca="false">SUM(N19,M19,L19,K19,J19,I19,H19,G19)</f>
        <v>25</v>
      </c>
      <c r="R19" s="12" t="n">
        <f aca="false">SUM(P19:Q19)</f>
        <v>0</v>
      </c>
    </row>
    <row r="20" customFormat="false" ht="15" hidden="false" customHeight="false" outlineLevel="0" collapsed="false">
      <c r="A20" s="1" t="n">
        <v>19</v>
      </c>
      <c r="B20" s="3" t="s">
        <v>79</v>
      </c>
      <c r="G20" s="1" t="n">
        <f aca="false">SUM(C20:F20)</f>
        <v>0</v>
      </c>
      <c r="I20" s="1" t="n">
        <f aca="false">G20+H20</f>
        <v>0</v>
      </c>
      <c r="J20" s="1" t="n">
        <v>2</v>
      </c>
      <c r="O20" s="24" t="n">
        <f aca="false">SUM(N20,M20,L20,K20,J20,I20,H20,G20)</f>
        <v>2</v>
      </c>
      <c r="R20" s="12" t="n">
        <f aca="false">SUM(P20:Q20)</f>
        <v>0</v>
      </c>
    </row>
    <row r="21" customFormat="false" ht="15" hidden="false" customHeight="false" outlineLevel="0" collapsed="false">
      <c r="A21" s="1" t="n">
        <v>20</v>
      </c>
      <c r="B21" s="3" t="s">
        <v>84</v>
      </c>
      <c r="D21" s="1" t="n">
        <v>2</v>
      </c>
      <c r="F21" s="1" t="n">
        <v>1</v>
      </c>
      <c r="G21" s="1" t="n">
        <f aca="false">SUM(C21:F21)</f>
        <v>3</v>
      </c>
      <c r="I21" s="1" t="n">
        <f aca="false">G21+H21</f>
        <v>3</v>
      </c>
      <c r="J21" s="1" t="n">
        <v>2</v>
      </c>
      <c r="O21" s="24" t="n">
        <f aca="false">SUM(N21,M21,L21,K21,J21,I21,H21,G21)</f>
        <v>8</v>
      </c>
      <c r="R21" s="12" t="n">
        <f aca="false">SUM(P21:Q21)</f>
        <v>0</v>
      </c>
    </row>
    <row r="22" customFormat="false" ht="15" hidden="false" customHeight="false" outlineLevel="0" collapsed="false">
      <c r="A22" s="1" t="n">
        <v>21</v>
      </c>
      <c r="B22" s="3" t="s">
        <v>87</v>
      </c>
      <c r="E22" s="1" t="n">
        <v>2</v>
      </c>
      <c r="F22" s="1" t="n">
        <v>3</v>
      </c>
      <c r="G22" s="1" t="n">
        <f aca="false">SUM(C22:F22)</f>
        <v>5</v>
      </c>
      <c r="I22" s="1" t="n">
        <f aca="false">G22+H22</f>
        <v>5</v>
      </c>
      <c r="O22" s="24" t="n">
        <f aca="false">SUM(N22,M22,L22,K22,J22,I22,H22,G22)</f>
        <v>10</v>
      </c>
      <c r="R22" s="12" t="n">
        <f aca="false">SUM(P22:Q22)</f>
        <v>0</v>
      </c>
    </row>
    <row r="23" customFormat="false" ht="15" hidden="false" customHeight="false" outlineLevel="0" collapsed="false">
      <c r="A23" s="1" t="n">
        <v>22</v>
      </c>
      <c r="B23" s="3" t="s">
        <v>90</v>
      </c>
      <c r="D23" s="1" t="n">
        <v>3</v>
      </c>
      <c r="F23" s="1" t="n">
        <v>4</v>
      </c>
      <c r="G23" s="1" t="n">
        <f aca="false">SUM(C23:F23)</f>
        <v>7</v>
      </c>
      <c r="I23" s="1" t="n">
        <f aca="false">G23+H23</f>
        <v>7</v>
      </c>
      <c r="L23" s="1" t="n">
        <v>5</v>
      </c>
      <c r="N23" s="1" t="n">
        <v>1</v>
      </c>
      <c r="O23" s="24" t="n">
        <f aca="false">SUM(N23,M23,L23,K23,J23,I23,H23,G23)</f>
        <v>20</v>
      </c>
      <c r="R23" s="12" t="n">
        <f aca="false">SUM(P23:Q23)</f>
        <v>0</v>
      </c>
    </row>
    <row r="24" customFormat="false" ht="15" hidden="false" customHeight="false" outlineLevel="0" collapsed="false">
      <c r="A24" s="1" t="n">
        <v>23</v>
      </c>
      <c r="B24" s="3" t="s">
        <v>93</v>
      </c>
      <c r="C24" s="1" t="n">
        <v>4</v>
      </c>
      <c r="D24" s="1" t="n">
        <v>10</v>
      </c>
      <c r="E24" s="1" t="n">
        <v>10</v>
      </c>
      <c r="F24" s="1" t="n">
        <v>5</v>
      </c>
      <c r="G24" s="1" t="n">
        <f aca="false">SUM(C24:F24)</f>
        <v>29</v>
      </c>
      <c r="H24" s="1" t="n">
        <v>12</v>
      </c>
      <c r="I24" s="1" t="n">
        <f aca="false">G24+H24</f>
        <v>41</v>
      </c>
      <c r="J24" s="1" t="n">
        <v>10</v>
      </c>
      <c r="L24" s="1" t="n">
        <v>5</v>
      </c>
      <c r="O24" s="24" t="n">
        <f aca="false">SUM(N24,M24,L24,K24,J24,I24,H24,G24)</f>
        <v>97</v>
      </c>
      <c r="P24" s="1" t="n">
        <v>66</v>
      </c>
      <c r="Q24" s="1" t="n">
        <v>10</v>
      </c>
      <c r="R24" s="12" t="n">
        <f aca="false">SUM(P24:Q24)</f>
        <v>76</v>
      </c>
    </row>
    <row r="25" customFormat="false" ht="15" hidden="false" customHeight="false" outlineLevel="0" collapsed="false">
      <c r="A25" s="1" t="n">
        <v>24</v>
      </c>
      <c r="B25" s="3" t="s">
        <v>96</v>
      </c>
      <c r="C25" s="1" t="n">
        <v>3</v>
      </c>
      <c r="D25" s="1" t="n">
        <v>8</v>
      </c>
      <c r="E25" s="1" t="n">
        <v>10</v>
      </c>
      <c r="F25" s="1" t="n">
        <v>1</v>
      </c>
      <c r="G25" s="1" t="n">
        <f aca="false">SUM(C25:F25)</f>
        <v>22</v>
      </c>
      <c r="H25" s="1" t="n">
        <v>19</v>
      </c>
      <c r="I25" s="1" t="n">
        <f aca="false">G25+H25</f>
        <v>41</v>
      </c>
      <c r="J25" s="1" t="n">
        <v>10</v>
      </c>
      <c r="K25" s="1" t="n">
        <v>2</v>
      </c>
      <c r="L25" s="1" t="n">
        <v>8</v>
      </c>
      <c r="N25" s="1" t="n">
        <v>1</v>
      </c>
      <c r="O25" s="24" t="n">
        <f aca="false">SUM(N25,M25,L25,K25,J25,I25,H25,G25)</f>
        <v>103</v>
      </c>
      <c r="P25" s="1" t="n">
        <v>110</v>
      </c>
      <c r="Q25" s="1" t="n">
        <v>10</v>
      </c>
      <c r="R25" s="12" t="n">
        <f aca="false">SUM(P25:Q25)</f>
        <v>120</v>
      </c>
    </row>
    <row r="26" customFormat="false" ht="15" hidden="false" customHeight="false" outlineLevel="0" collapsed="false">
      <c r="A26" s="1" t="n">
        <v>25</v>
      </c>
      <c r="B26" s="3" t="s">
        <v>99</v>
      </c>
      <c r="D26" s="1" t="n">
        <v>1</v>
      </c>
      <c r="E26" s="1" t="n">
        <v>3</v>
      </c>
      <c r="F26" s="1" t="n">
        <v>1</v>
      </c>
      <c r="G26" s="1" t="n">
        <f aca="false">SUM(C26:F26)</f>
        <v>5</v>
      </c>
      <c r="I26" s="1" t="n">
        <f aca="false">G26+H26</f>
        <v>5</v>
      </c>
      <c r="L26" s="1" t="n">
        <v>4</v>
      </c>
      <c r="O26" s="24" t="n">
        <f aca="false">SUM(N26,M26,L26,K26,J26,I26,H26,G26)</f>
        <v>14</v>
      </c>
      <c r="P26" s="1" t="n">
        <v>10</v>
      </c>
      <c r="R26" s="12" t="n">
        <f aca="false">SUM(P26:Q26)</f>
        <v>10</v>
      </c>
    </row>
    <row r="27" customFormat="false" ht="15" hidden="false" customHeight="false" outlineLevel="0" collapsed="false">
      <c r="A27" s="1" t="n">
        <v>26</v>
      </c>
      <c r="B27" s="3" t="s">
        <v>102</v>
      </c>
      <c r="D27" s="1" t="n">
        <v>5</v>
      </c>
      <c r="I27" s="1" t="n">
        <f aca="false">G27+H27</f>
        <v>0</v>
      </c>
      <c r="O27" s="24" t="n">
        <f aca="false">SUM(N27,M27,L27,K27,J27,I27,H27,G27)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B1" colorId="64" zoomScale="80" zoomScaleNormal="80" zoomScalePageLayoutView="100" workbookViewId="0">
      <selection pane="topLeft" activeCell="F2" activeCellId="0" sqref="F2"/>
    </sheetView>
  </sheetViews>
  <sheetFormatPr defaultColWidth="10.58203125" defaultRowHeight="12.8" zeroHeight="false" outlineLevelRow="0" outlineLevelCol="0"/>
  <cols>
    <col collapsed="false" customWidth="true" hidden="true" outlineLevel="0" max="2" min="2" style="1" width="22.11"/>
    <col collapsed="false" customWidth="true" hidden="false" outlineLevel="0" max="3" min="3" style="1" width="18.54"/>
  </cols>
  <sheetData>
    <row r="1" customFormat="false" ht="15" hidden="false" customHeight="false" outlineLevel="0" collapsed="false">
      <c r="A1" s="1" t="s">
        <v>3</v>
      </c>
      <c r="B1" s="3" t="s">
        <v>4</v>
      </c>
      <c r="C1" s="3" t="s">
        <v>5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</row>
    <row r="2" customFormat="false" ht="15" hidden="false" customHeight="false" outlineLevel="0" collapsed="false">
      <c r="A2" s="1" t="n">
        <v>1</v>
      </c>
      <c r="B2" s="3" t="s">
        <v>16</v>
      </c>
      <c r="C2" s="3" t="s">
        <v>17</v>
      </c>
    </row>
    <row r="3" customFormat="false" ht="15" hidden="false" customHeight="false" outlineLevel="0" collapsed="false">
      <c r="A3" s="1" t="n">
        <v>2</v>
      </c>
      <c r="B3" s="3" t="s">
        <v>22</v>
      </c>
      <c r="C3" s="3" t="s">
        <v>23</v>
      </c>
      <c r="I3" s="1" t="n">
        <v>1</v>
      </c>
    </row>
    <row r="4" customFormat="false" ht="15" hidden="false" customHeight="false" outlineLevel="0" collapsed="false">
      <c r="A4" s="1" t="n">
        <v>3</v>
      </c>
      <c r="B4" s="3" t="s">
        <v>25</v>
      </c>
      <c r="C4" s="3" t="s">
        <v>26</v>
      </c>
      <c r="E4" s="1" t="n">
        <v>1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</row>
    <row r="5" customFormat="false" ht="15" hidden="false" customHeight="false" outlineLevel="0" collapsed="false">
      <c r="A5" s="1" t="n">
        <v>4</v>
      </c>
      <c r="B5" s="3" t="s">
        <v>29</v>
      </c>
      <c r="C5" s="3" t="s">
        <v>30</v>
      </c>
    </row>
    <row r="6" customFormat="false" ht="15" hidden="false" customHeight="false" outlineLevel="0" collapsed="false">
      <c r="A6" s="1" t="n">
        <v>5</v>
      </c>
      <c r="B6" s="3" t="s">
        <v>34</v>
      </c>
      <c r="C6" s="3" t="s">
        <v>35</v>
      </c>
      <c r="H6" s="1" t="n">
        <v>1</v>
      </c>
      <c r="I6" s="1" t="n">
        <v>1</v>
      </c>
      <c r="J6" s="1" t="n">
        <v>1</v>
      </c>
    </row>
    <row r="7" customFormat="false" ht="15" hidden="false" customHeight="false" outlineLevel="0" collapsed="false">
      <c r="A7" s="1" t="n">
        <v>6</v>
      </c>
      <c r="B7" s="3" t="s">
        <v>38</v>
      </c>
      <c r="C7" s="3" t="s">
        <v>39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1</v>
      </c>
    </row>
    <row r="8" customFormat="false" ht="15" hidden="false" customHeight="false" outlineLevel="0" collapsed="false">
      <c r="A8" s="1" t="n">
        <v>7</v>
      </c>
      <c r="B8" s="3" t="s">
        <v>42</v>
      </c>
      <c r="C8" s="3" t="s">
        <v>43</v>
      </c>
    </row>
    <row r="9" customFormat="false" ht="15" hidden="false" customHeight="false" outlineLevel="0" collapsed="false">
      <c r="A9" s="1" t="n">
        <v>8</v>
      </c>
      <c r="B9" s="3" t="s">
        <v>45</v>
      </c>
      <c r="C9" s="3" t="s">
        <v>46</v>
      </c>
    </row>
    <row r="10" customFormat="false" ht="15" hidden="false" customHeight="false" outlineLevel="0" collapsed="false">
      <c r="A10" s="1" t="n">
        <v>9</v>
      </c>
      <c r="B10" s="3" t="s">
        <v>48</v>
      </c>
      <c r="C10" s="3" t="s">
        <v>49</v>
      </c>
    </row>
    <row r="11" customFormat="false" ht="15" hidden="false" customHeight="false" outlineLevel="0" collapsed="false">
      <c r="A11" s="1" t="n">
        <v>10</v>
      </c>
      <c r="B11" s="3" t="s">
        <v>51</v>
      </c>
      <c r="C11" s="3" t="s">
        <v>52</v>
      </c>
      <c r="D11" s="1" t="n">
        <v>1</v>
      </c>
      <c r="E11" s="1" t="n">
        <v>1</v>
      </c>
      <c r="F11" s="1" t="n">
        <v>1</v>
      </c>
      <c r="H11" s="1" t="n">
        <v>1</v>
      </c>
      <c r="I11" s="1" t="n">
        <v>1</v>
      </c>
      <c r="J11" s="1" t="n">
        <v>1</v>
      </c>
    </row>
    <row r="12" customFormat="false" ht="15" hidden="false" customHeight="false" outlineLevel="0" collapsed="false">
      <c r="A12" s="1" t="n">
        <v>11</v>
      </c>
      <c r="B12" s="3" t="s">
        <v>54</v>
      </c>
      <c r="C12" s="3" t="s">
        <v>55</v>
      </c>
    </row>
    <row r="13" customFormat="false" ht="15" hidden="false" customHeight="false" outlineLevel="0" collapsed="false">
      <c r="A13" s="1" t="n">
        <v>12</v>
      </c>
      <c r="B13" s="3" t="s">
        <v>57</v>
      </c>
      <c r="C13" s="3" t="s">
        <v>58</v>
      </c>
    </row>
    <row r="14" customFormat="false" ht="15" hidden="false" customHeight="false" outlineLevel="0" collapsed="false">
      <c r="A14" s="1" t="n">
        <v>13</v>
      </c>
      <c r="B14" s="3" t="s">
        <v>60</v>
      </c>
      <c r="C14" s="3" t="s">
        <v>61</v>
      </c>
    </row>
    <row r="15" customFormat="false" ht="15" hidden="false" customHeight="false" outlineLevel="0" collapsed="false">
      <c r="A15" s="1" t="n">
        <v>14</v>
      </c>
      <c r="B15" s="3" t="s">
        <v>63</v>
      </c>
      <c r="C15" s="3" t="s">
        <v>64</v>
      </c>
    </row>
    <row r="16" customFormat="false" ht="15" hidden="false" customHeight="false" outlineLevel="0" collapsed="false">
      <c r="A16" s="1" t="n">
        <v>15</v>
      </c>
      <c r="B16" s="3" t="s">
        <v>66</v>
      </c>
      <c r="C16" s="3" t="s">
        <v>67</v>
      </c>
      <c r="D16" s="1" t="n">
        <v>1</v>
      </c>
      <c r="E16" s="1" t="n">
        <v>1</v>
      </c>
      <c r="F16" s="1" t="n">
        <v>1</v>
      </c>
      <c r="G16" s="1" t="n">
        <v>1</v>
      </c>
      <c r="H16" s="1" t="n">
        <v>1</v>
      </c>
      <c r="I16" s="1" t="n">
        <v>1</v>
      </c>
      <c r="J16" s="1" t="n">
        <v>1</v>
      </c>
    </row>
    <row r="17" customFormat="false" ht="15" hidden="false" customHeight="false" outlineLevel="0" collapsed="false">
      <c r="A17" s="1" t="n">
        <v>16</v>
      </c>
      <c r="B17" s="3" t="s">
        <v>69</v>
      </c>
      <c r="C17" s="3" t="s">
        <v>70</v>
      </c>
      <c r="F17" s="1" t="n">
        <v>1</v>
      </c>
      <c r="G17" s="1" t="n">
        <v>1</v>
      </c>
      <c r="H17" s="1" t="n">
        <v>1</v>
      </c>
      <c r="I17" s="1" t="n">
        <v>1</v>
      </c>
      <c r="J17" s="1" t="n">
        <v>1</v>
      </c>
    </row>
    <row r="18" customFormat="false" ht="15" hidden="false" customHeight="false" outlineLevel="0" collapsed="false">
      <c r="A18" s="1" t="n">
        <v>17</v>
      </c>
      <c r="B18" s="3" t="s">
        <v>72</v>
      </c>
      <c r="C18" s="3" t="s">
        <v>73</v>
      </c>
      <c r="H18" s="1" t="n">
        <v>1</v>
      </c>
      <c r="I18" s="1" t="n">
        <v>1</v>
      </c>
    </row>
    <row r="19" customFormat="false" ht="15" hidden="false" customHeight="false" outlineLevel="0" collapsed="false">
      <c r="A19" s="1" t="n">
        <v>18</v>
      </c>
      <c r="B19" s="3" t="s">
        <v>75</v>
      </c>
      <c r="C19" s="3" t="s">
        <v>76</v>
      </c>
    </row>
    <row r="20" customFormat="false" ht="15" hidden="false" customHeight="false" outlineLevel="0" collapsed="false">
      <c r="A20" s="1" t="n">
        <v>19</v>
      </c>
      <c r="B20" s="3" t="s">
        <v>78</v>
      </c>
      <c r="C20" s="3" t="s">
        <v>79</v>
      </c>
    </row>
    <row r="21" customFormat="false" ht="15" hidden="false" customHeight="false" outlineLevel="0" collapsed="false">
      <c r="A21" s="1" t="n">
        <v>20</v>
      </c>
      <c r="B21" s="3" t="s">
        <v>83</v>
      </c>
      <c r="C21" s="3" t="s">
        <v>84</v>
      </c>
      <c r="H21" s="1" t="n">
        <v>1</v>
      </c>
      <c r="I21" s="1" t="n">
        <v>1</v>
      </c>
      <c r="J21" s="1" t="n">
        <v>1</v>
      </c>
    </row>
    <row r="22" customFormat="false" ht="15" hidden="false" customHeight="false" outlineLevel="0" collapsed="false">
      <c r="A22" s="1" t="n">
        <v>21</v>
      </c>
      <c r="B22" s="3" t="s">
        <v>86</v>
      </c>
      <c r="C22" s="3" t="s">
        <v>87</v>
      </c>
    </row>
    <row r="23" customFormat="false" ht="15" hidden="false" customHeight="false" outlineLevel="0" collapsed="false">
      <c r="A23" s="1" t="n">
        <v>22</v>
      </c>
      <c r="B23" s="3" t="s">
        <v>89</v>
      </c>
      <c r="C23" s="3" t="s">
        <v>90</v>
      </c>
      <c r="H23" s="1" t="n">
        <v>1</v>
      </c>
    </row>
    <row r="24" customFormat="false" ht="15" hidden="false" customHeight="false" outlineLevel="0" collapsed="false">
      <c r="A24" s="1" t="n">
        <v>23</v>
      </c>
      <c r="B24" s="3" t="s">
        <v>92</v>
      </c>
      <c r="C24" s="3" t="s">
        <v>93</v>
      </c>
    </row>
    <row r="25" customFormat="false" ht="15" hidden="false" customHeight="false" outlineLevel="0" collapsed="false">
      <c r="A25" s="1" t="n">
        <v>24</v>
      </c>
      <c r="B25" s="3" t="s">
        <v>95</v>
      </c>
      <c r="C25" s="3" t="s">
        <v>96</v>
      </c>
    </row>
    <row r="26" customFormat="false" ht="15" hidden="false" customHeight="false" outlineLevel="0" collapsed="false">
      <c r="A26" s="1" t="n">
        <v>25</v>
      </c>
      <c r="B26" s="3" t="s">
        <v>98</v>
      </c>
      <c r="C26" s="3" t="s">
        <v>99</v>
      </c>
    </row>
    <row r="27" customFormat="false" ht="15" hidden="false" customHeight="false" outlineLevel="0" collapsed="false">
      <c r="A27" s="1" t="n">
        <v>26</v>
      </c>
      <c r="B27" s="3" t="s">
        <v>101</v>
      </c>
      <c r="C27" s="3" t="s">
        <v>102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0" colorId="64" zoomScale="80" zoomScaleNormal="80" zoomScalePageLayoutView="100" workbookViewId="0">
      <selection pane="topLeft" activeCell="I29" activeCellId="0" sqref="I29"/>
    </sheetView>
  </sheetViews>
  <sheetFormatPr defaultColWidth="9.71484375" defaultRowHeight="15" zeroHeight="false" outlineLevelRow="0" outlineLevelCol="0"/>
  <cols>
    <col collapsed="false" customWidth="true" hidden="false" outlineLevel="0" max="2" min="1" style="1" width="18.61"/>
  </cols>
  <sheetData>
    <row r="1" customFormat="false" ht="15" hidden="false" customHeight="false" outlineLevel="0" collapsed="false">
      <c r="B1" s="1" t="s">
        <v>5</v>
      </c>
      <c r="C1" s="1" t="s">
        <v>4</v>
      </c>
      <c r="D1" s="1" t="s">
        <v>196</v>
      </c>
      <c r="E1" s="1" t="s">
        <v>197</v>
      </c>
      <c r="F1" s="1" t="s">
        <v>130</v>
      </c>
      <c r="G1" s="1" t="s">
        <v>198</v>
      </c>
      <c r="H1" s="1" t="s">
        <v>144</v>
      </c>
    </row>
    <row r="2" customFormat="false" ht="15" hidden="false" customHeight="false" outlineLevel="0" collapsed="false">
      <c r="A2" s="3" t="s">
        <v>17</v>
      </c>
      <c r="B2" s="1" t="s">
        <v>17</v>
      </c>
      <c r="C2" s="1" t="s">
        <v>16</v>
      </c>
      <c r="D2" s="1" t="s">
        <v>199</v>
      </c>
      <c r="E2" s="1" t="n">
        <v>9</v>
      </c>
      <c r="H2" s="1" t="n">
        <v>9</v>
      </c>
    </row>
    <row r="3" customFormat="false" ht="15" hidden="false" customHeight="false" outlineLevel="0" collapsed="false">
      <c r="A3" s="3" t="s">
        <v>23</v>
      </c>
      <c r="E3" s="1" t="n">
        <v>1</v>
      </c>
      <c r="H3" s="1" t="n">
        <v>1</v>
      </c>
    </row>
    <row r="4" customFormat="false" ht="15" hidden="false" customHeight="false" outlineLevel="0" collapsed="false">
      <c r="A4" s="1" t="s">
        <v>26</v>
      </c>
      <c r="B4" s="1" t="s">
        <v>26</v>
      </c>
      <c r="C4" s="1" t="s">
        <v>25</v>
      </c>
      <c r="D4" s="1" t="s">
        <v>200</v>
      </c>
      <c r="E4" s="1" t="n">
        <v>8</v>
      </c>
      <c r="H4" s="1" t="n">
        <v>8</v>
      </c>
    </row>
    <row r="5" customFormat="false" ht="15" hidden="false" customHeight="false" outlineLevel="0" collapsed="false">
      <c r="A5" s="1" t="s">
        <v>30</v>
      </c>
      <c r="B5" s="1" t="s">
        <v>30</v>
      </c>
      <c r="C5" s="1" t="s">
        <v>29</v>
      </c>
      <c r="D5" s="1" t="s">
        <v>201</v>
      </c>
      <c r="E5" s="1" t="n">
        <v>10</v>
      </c>
      <c r="H5" s="1" t="n">
        <v>10</v>
      </c>
    </row>
    <row r="6" customFormat="false" ht="15" hidden="false" customHeight="false" outlineLevel="0" collapsed="false">
      <c r="A6" s="1" t="s">
        <v>35</v>
      </c>
      <c r="B6" s="1" t="s">
        <v>35</v>
      </c>
      <c r="C6" s="1" t="s">
        <v>34</v>
      </c>
      <c r="D6" s="1" t="s">
        <v>202</v>
      </c>
      <c r="E6" s="1" t="n">
        <v>8</v>
      </c>
      <c r="H6" s="1" t="n">
        <v>8</v>
      </c>
    </row>
    <row r="7" customFormat="false" ht="15" hidden="false" customHeight="false" outlineLevel="0" collapsed="false">
      <c r="A7" s="1" t="s">
        <v>39</v>
      </c>
      <c r="E7" s="1" t="n">
        <v>1</v>
      </c>
      <c r="H7" s="1" t="n">
        <v>1</v>
      </c>
    </row>
    <row r="8" customFormat="false" ht="15" hidden="false" customHeight="false" outlineLevel="0" collapsed="false">
      <c r="A8" s="1" t="s">
        <v>43</v>
      </c>
      <c r="B8" s="1" t="s">
        <v>43</v>
      </c>
      <c r="C8" s="1" t="s">
        <v>42</v>
      </c>
      <c r="D8" s="1" t="s">
        <v>203</v>
      </c>
      <c r="E8" s="1" t="n">
        <v>10</v>
      </c>
      <c r="H8" s="1" t="n">
        <v>10</v>
      </c>
    </row>
    <row r="9" customFormat="false" ht="15" hidden="false" customHeight="false" outlineLevel="0" collapsed="false">
      <c r="A9" s="1" t="s">
        <v>46</v>
      </c>
      <c r="B9" s="1" t="s">
        <v>46</v>
      </c>
      <c r="C9" s="1" t="s">
        <v>45</v>
      </c>
      <c r="D9" s="1" t="s">
        <v>204</v>
      </c>
      <c r="E9" s="1" t="n">
        <v>8</v>
      </c>
      <c r="H9" s="1" t="n">
        <v>8</v>
      </c>
    </row>
    <row r="10" customFormat="false" ht="15" hidden="false" customHeight="false" outlineLevel="0" collapsed="false">
      <c r="A10" s="1" t="s">
        <v>49</v>
      </c>
      <c r="B10" s="1" t="s">
        <v>49</v>
      </c>
      <c r="C10" s="1" t="s">
        <v>48</v>
      </c>
      <c r="D10" s="1" t="s">
        <v>205</v>
      </c>
      <c r="E10" s="1" t="n">
        <v>9</v>
      </c>
      <c r="H10" s="1" t="n">
        <v>9</v>
      </c>
    </row>
    <row r="11" customFormat="false" ht="15" hidden="false" customHeight="false" outlineLevel="0" collapsed="false">
      <c r="A11" s="1" t="s">
        <v>52</v>
      </c>
      <c r="B11" s="1" t="s">
        <v>52</v>
      </c>
      <c r="C11" s="1" t="s">
        <v>51</v>
      </c>
      <c r="D11" s="1" t="s">
        <v>206</v>
      </c>
      <c r="E11" s="1" t="n">
        <v>5</v>
      </c>
      <c r="H11" s="1" t="n">
        <v>5</v>
      </c>
    </row>
    <row r="12" customFormat="false" ht="15" hidden="false" customHeight="false" outlineLevel="0" collapsed="false">
      <c r="A12" s="1" t="s">
        <v>55</v>
      </c>
      <c r="B12" s="1" t="s">
        <v>55</v>
      </c>
      <c r="C12" s="1" t="s">
        <v>54</v>
      </c>
      <c r="D12" s="1" t="s">
        <v>207</v>
      </c>
      <c r="E12" s="1" t="n">
        <v>9</v>
      </c>
      <c r="H12" s="1" t="n">
        <v>9</v>
      </c>
    </row>
    <row r="13" customFormat="false" ht="15" hidden="false" customHeight="false" outlineLevel="0" collapsed="false">
      <c r="A13" s="1" t="s">
        <v>58</v>
      </c>
      <c r="E13" s="1" t="n">
        <v>1</v>
      </c>
      <c r="H13" s="1" t="n">
        <v>1</v>
      </c>
    </row>
    <row r="14" customFormat="false" ht="15" hidden="false" customHeight="false" outlineLevel="0" collapsed="false">
      <c r="A14" s="1" t="s">
        <v>61</v>
      </c>
      <c r="B14" s="1" t="s">
        <v>61</v>
      </c>
      <c r="C14" s="1" t="s">
        <v>60</v>
      </c>
      <c r="D14" s="1" t="s">
        <v>208</v>
      </c>
      <c r="E14" s="1" t="n">
        <v>9</v>
      </c>
      <c r="H14" s="1" t="n">
        <v>9</v>
      </c>
    </row>
    <row r="15" customFormat="false" ht="15" hidden="false" customHeight="false" outlineLevel="0" collapsed="false">
      <c r="A15" s="1" t="s">
        <v>64</v>
      </c>
      <c r="B15" s="1" t="s">
        <v>64</v>
      </c>
      <c r="C15" s="1" t="s">
        <v>63</v>
      </c>
      <c r="D15" s="1" t="s">
        <v>209</v>
      </c>
      <c r="E15" s="1" t="n">
        <v>10</v>
      </c>
      <c r="H15" s="1" t="n">
        <v>10</v>
      </c>
    </row>
    <row r="16" customFormat="false" ht="15" hidden="false" customHeight="false" outlineLevel="0" collapsed="false">
      <c r="A16" s="1" t="s">
        <v>67</v>
      </c>
      <c r="B16" s="1" t="s">
        <v>67</v>
      </c>
      <c r="C16" s="1" t="s">
        <v>66</v>
      </c>
      <c r="D16" s="1" t="s">
        <v>210</v>
      </c>
      <c r="E16" s="1" t="n">
        <v>8</v>
      </c>
      <c r="H16" s="1" t="n">
        <v>8</v>
      </c>
    </row>
    <row r="17" customFormat="false" ht="15" hidden="false" customHeight="false" outlineLevel="0" collapsed="false">
      <c r="A17" s="1" t="s">
        <v>70</v>
      </c>
      <c r="B17" s="1" t="s">
        <v>70</v>
      </c>
      <c r="C17" s="1" t="s">
        <v>69</v>
      </c>
      <c r="D17" s="1" t="s">
        <v>211</v>
      </c>
      <c r="E17" s="1" t="n">
        <v>10</v>
      </c>
      <c r="H17" s="1" t="n">
        <v>10</v>
      </c>
    </row>
    <row r="18" customFormat="false" ht="15" hidden="false" customHeight="false" outlineLevel="0" collapsed="false">
      <c r="A18" s="1" t="s">
        <v>73</v>
      </c>
      <c r="B18" s="1" t="s">
        <v>73</v>
      </c>
      <c r="C18" s="1" t="s">
        <v>72</v>
      </c>
      <c r="D18" s="1" t="s">
        <v>212</v>
      </c>
      <c r="E18" s="1" t="n">
        <v>10</v>
      </c>
      <c r="H18" s="1" t="n">
        <v>10</v>
      </c>
    </row>
    <row r="19" customFormat="false" ht="15" hidden="false" customHeight="false" outlineLevel="0" collapsed="false">
      <c r="A19" s="1" t="s">
        <v>76</v>
      </c>
      <c r="B19" s="1" t="s">
        <v>76</v>
      </c>
      <c r="C19" s="1" t="s">
        <v>75</v>
      </c>
      <c r="D19" s="1" t="s">
        <v>213</v>
      </c>
      <c r="E19" s="1" t="n">
        <v>8</v>
      </c>
      <c r="H19" s="1" t="n">
        <v>8</v>
      </c>
    </row>
    <row r="20" customFormat="false" ht="15" hidden="false" customHeight="false" outlineLevel="0" collapsed="false">
      <c r="A20" s="1" t="s">
        <v>79</v>
      </c>
      <c r="B20" s="1" t="s">
        <v>79</v>
      </c>
      <c r="C20" s="1" t="s">
        <v>78</v>
      </c>
      <c r="D20" s="1" t="s">
        <v>214</v>
      </c>
      <c r="E20" s="1" t="n">
        <v>10</v>
      </c>
      <c r="F20" s="1" t="n">
        <f aca="false">AVERAGE(E20:E21)</f>
        <v>8</v>
      </c>
      <c r="G20" s="1" t="n">
        <v>6</v>
      </c>
      <c r="H20" s="1" t="n">
        <f aca="false">MAX(G20,F20)</f>
        <v>8</v>
      </c>
    </row>
    <row r="21" customFormat="false" ht="15" hidden="false" customHeight="false" outlineLevel="0" collapsed="false">
      <c r="B21" s="1" t="s">
        <v>79</v>
      </c>
      <c r="C21" s="1" t="s">
        <v>78</v>
      </c>
      <c r="D21" s="1" t="s">
        <v>215</v>
      </c>
      <c r="E21" s="1" t="n">
        <v>6</v>
      </c>
    </row>
    <row r="22" customFormat="false" ht="15" hidden="false" customHeight="false" outlineLevel="0" collapsed="false">
      <c r="A22" s="1" t="s">
        <v>84</v>
      </c>
      <c r="E22" s="1" t="n">
        <v>1</v>
      </c>
      <c r="H22" s="1" t="n">
        <v>1</v>
      </c>
    </row>
    <row r="23" customFormat="false" ht="15" hidden="false" customHeight="false" outlineLevel="0" collapsed="false">
      <c r="A23" s="1" t="s">
        <v>87</v>
      </c>
      <c r="B23" s="1" t="s">
        <v>87</v>
      </c>
      <c r="C23" s="1" t="s">
        <v>86</v>
      </c>
      <c r="D23" s="1" t="s">
        <v>216</v>
      </c>
      <c r="E23" s="1" t="n">
        <v>10</v>
      </c>
      <c r="F23" s="1" t="n">
        <f aca="false">AVERAGE(E23:E26)</f>
        <v>6.75</v>
      </c>
      <c r="G23" s="1" t="n">
        <v>9</v>
      </c>
      <c r="H23" s="1" t="n">
        <f aca="false">MAX(G23,F23)</f>
        <v>9</v>
      </c>
    </row>
    <row r="24" customFormat="false" ht="15" hidden="false" customHeight="false" outlineLevel="0" collapsed="false">
      <c r="B24" s="1" t="s">
        <v>87</v>
      </c>
      <c r="C24" s="1" t="s">
        <v>86</v>
      </c>
      <c r="D24" s="1" t="s">
        <v>201</v>
      </c>
      <c r="E24" s="1" t="n">
        <v>9</v>
      </c>
    </row>
    <row r="25" customFormat="false" ht="15" hidden="false" customHeight="false" outlineLevel="0" collapsed="false">
      <c r="B25" s="1" t="s">
        <v>87</v>
      </c>
      <c r="C25" s="1" t="s">
        <v>86</v>
      </c>
      <c r="D25" s="1" t="s">
        <v>217</v>
      </c>
      <c r="E25" s="1" t="n">
        <v>7</v>
      </c>
    </row>
    <row r="26" customFormat="false" ht="15" hidden="false" customHeight="false" outlineLevel="0" collapsed="false">
      <c r="B26" s="1" t="s">
        <v>87</v>
      </c>
      <c r="C26" s="1" t="s">
        <v>86</v>
      </c>
      <c r="D26" s="1" t="s">
        <v>218</v>
      </c>
      <c r="E26" s="1" t="n">
        <v>1</v>
      </c>
    </row>
    <row r="27" customFormat="false" ht="15" hidden="false" customHeight="false" outlineLevel="0" collapsed="false">
      <c r="A27" s="1" t="s">
        <v>90</v>
      </c>
      <c r="B27" s="1" t="s">
        <v>90</v>
      </c>
      <c r="C27" s="1" t="s">
        <v>89</v>
      </c>
      <c r="D27" s="1" t="s">
        <v>219</v>
      </c>
      <c r="E27" s="1" t="n">
        <v>10</v>
      </c>
      <c r="H27" s="1" t="n">
        <v>10</v>
      </c>
    </row>
    <row r="28" customFormat="false" ht="15" hidden="false" customHeight="false" outlineLevel="0" collapsed="false">
      <c r="A28" s="1" t="s">
        <v>93</v>
      </c>
      <c r="B28" s="1" t="s">
        <v>93</v>
      </c>
      <c r="C28" s="1" t="s">
        <v>92</v>
      </c>
      <c r="D28" s="1" t="s">
        <v>220</v>
      </c>
      <c r="E28" s="1" t="n">
        <v>10</v>
      </c>
      <c r="H28" s="1" t="n">
        <v>10</v>
      </c>
    </row>
    <row r="29" customFormat="false" ht="15" hidden="false" customHeight="false" outlineLevel="0" collapsed="false">
      <c r="A29" s="1" t="s">
        <v>96</v>
      </c>
      <c r="B29" s="1" t="s">
        <v>96</v>
      </c>
      <c r="C29" s="1" t="s">
        <v>95</v>
      </c>
      <c r="D29" s="1" t="s">
        <v>221</v>
      </c>
      <c r="E29" s="1" t="n">
        <v>10</v>
      </c>
      <c r="F29" s="1" t="n">
        <f aca="false">AVERAGE(E29:E31)</f>
        <v>7</v>
      </c>
      <c r="G29" s="1" t="n">
        <v>9</v>
      </c>
      <c r="H29" s="1" t="n">
        <f aca="false">MAX(G29,F29)</f>
        <v>9</v>
      </c>
    </row>
    <row r="30" customFormat="false" ht="15" hidden="false" customHeight="false" outlineLevel="0" collapsed="false">
      <c r="B30" s="1" t="s">
        <v>96</v>
      </c>
      <c r="C30" s="1" t="s">
        <v>95</v>
      </c>
      <c r="D30" s="1" t="s">
        <v>215</v>
      </c>
      <c r="E30" s="1" t="n">
        <v>9</v>
      </c>
      <c r="F30" s="8"/>
    </row>
    <row r="31" customFormat="false" ht="15" hidden="false" customHeight="false" outlineLevel="0" collapsed="false">
      <c r="B31" s="1" t="s">
        <v>96</v>
      </c>
      <c r="C31" s="1" t="s">
        <v>95</v>
      </c>
      <c r="D31" s="1" t="s">
        <v>222</v>
      </c>
      <c r="E31" s="1" t="n">
        <v>2</v>
      </c>
    </row>
    <row r="32" customFormat="false" ht="15" hidden="false" customHeight="false" outlineLevel="0" collapsed="false">
      <c r="A32" s="1" t="s">
        <v>99</v>
      </c>
      <c r="B32" s="1" t="s">
        <v>99</v>
      </c>
      <c r="C32" s="1" t="s">
        <v>98</v>
      </c>
      <c r="D32" s="1" t="s">
        <v>223</v>
      </c>
      <c r="E32" s="1" t="n">
        <v>8</v>
      </c>
      <c r="H32" s="1" t="n">
        <v>8</v>
      </c>
    </row>
    <row r="33" customFormat="false" ht="15" hidden="false" customHeight="false" outlineLevel="0" collapsed="false">
      <c r="A33" s="1" t="s">
        <v>102</v>
      </c>
      <c r="B33" s="1" t="s">
        <v>102</v>
      </c>
      <c r="C33" s="1" t="s">
        <v>101</v>
      </c>
      <c r="D33" s="1" t="s">
        <v>224</v>
      </c>
      <c r="E33" s="1" t="n">
        <v>10</v>
      </c>
      <c r="H33" s="1" t="n">
        <v>10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false" showOutlineSymbols="true" defaultGridColor="true" view="normal" topLeftCell="A25" colorId="64" zoomScale="80" zoomScaleNormal="80" zoomScalePageLayoutView="100" workbookViewId="0">
      <selection pane="topLeft" activeCell="G40" activeCellId="0" sqref="G40"/>
    </sheetView>
  </sheetViews>
  <sheetFormatPr defaultColWidth="9.6953125" defaultRowHeight="12.8" zeroHeight="false" outlineLevelRow="0" outlineLevelCol="0"/>
  <cols>
    <col collapsed="false" customWidth="true" hidden="false" outlineLevel="0" max="1" min="1" style="1" width="18.61"/>
    <col collapsed="false" customWidth="true" hidden="false" outlineLevel="0" max="2" min="2" style="1" width="18"/>
  </cols>
  <sheetData>
    <row r="1" customFormat="false" ht="15" hidden="false" customHeight="false" outlineLevel="0" collapsed="false">
      <c r="B1" s="1" t="s">
        <v>5</v>
      </c>
      <c r="C1" s="1" t="s">
        <v>196</v>
      </c>
      <c r="D1" s="1" t="s">
        <v>197</v>
      </c>
      <c r="E1" s="1" t="s">
        <v>130</v>
      </c>
      <c r="F1" s="1" t="s">
        <v>198</v>
      </c>
      <c r="G1" s="1" t="s">
        <v>144</v>
      </c>
    </row>
    <row r="2" customFormat="false" ht="15" hidden="false" customHeight="false" outlineLevel="0" collapsed="false">
      <c r="A2" s="3" t="s">
        <v>17</v>
      </c>
      <c r="B2" s="1" t="s">
        <v>17</v>
      </c>
      <c r="C2" s="1" t="s">
        <v>225</v>
      </c>
      <c r="D2" s="1" t="n">
        <v>9</v>
      </c>
      <c r="G2" s="1" t="n">
        <v>9</v>
      </c>
    </row>
    <row r="3" customFormat="false" ht="15" hidden="false" customHeight="false" outlineLevel="0" collapsed="false">
      <c r="A3" s="3" t="s">
        <v>23</v>
      </c>
      <c r="D3" s="1" t="n">
        <v>1</v>
      </c>
      <c r="G3" s="1" t="n">
        <v>1</v>
      </c>
    </row>
    <row r="4" customFormat="false" ht="15" hidden="false" customHeight="false" outlineLevel="0" collapsed="false">
      <c r="A4" s="3" t="s">
        <v>26</v>
      </c>
      <c r="B4" s="1" t="s">
        <v>26</v>
      </c>
      <c r="C4" s="1" t="s">
        <v>226</v>
      </c>
      <c r="D4" s="1" t="n">
        <v>4</v>
      </c>
      <c r="E4" s="1" t="n">
        <f aca="false">AVERAGE(D4:D5)</f>
        <v>3</v>
      </c>
      <c r="F4" s="1" t="n">
        <v>2</v>
      </c>
      <c r="G4" s="1" t="n">
        <f aca="false">MAX(F4,E4)</f>
        <v>3</v>
      </c>
    </row>
    <row r="5" customFormat="false" ht="15" hidden="false" customHeight="false" outlineLevel="0" collapsed="false">
      <c r="B5" s="1" t="s">
        <v>26</v>
      </c>
      <c r="C5" s="1" t="s">
        <v>227</v>
      </c>
      <c r="D5" s="1" t="n">
        <v>2</v>
      </c>
    </row>
    <row r="6" customFormat="false" ht="15" hidden="false" customHeight="false" outlineLevel="0" collapsed="false">
      <c r="A6" s="3" t="s">
        <v>30</v>
      </c>
      <c r="B6" s="1" t="s">
        <v>30</v>
      </c>
      <c r="C6" s="1" t="s">
        <v>228</v>
      </c>
      <c r="D6" s="1" t="n">
        <v>7</v>
      </c>
      <c r="G6" s="1" t="n">
        <v>7</v>
      </c>
    </row>
    <row r="7" customFormat="false" ht="15" hidden="false" customHeight="false" outlineLevel="0" collapsed="false">
      <c r="A7" s="3" t="s">
        <v>35</v>
      </c>
      <c r="B7" s="1" t="s">
        <v>35</v>
      </c>
      <c r="C7" s="1" t="s">
        <v>229</v>
      </c>
      <c r="D7" s="1" t="n">
        <v>8</v>
      </c>
      <c r="G7" s="1" t="n">
        <v>8</v>
      </c>
    </row>
    <row r="8" customFormat="false" ht="15" hidden="false" customHeight="false" outlineLevel="0" collapsed="false">
      <c r="A8" s="3" t="s">
        <v>39</v>
      </c>
      <c r="B8" s="1" t="s">
        <v>39</v>
      </c>
      <c r="C8" s="1" t="s">
        <v>230</v>
      </c>
      <c r="D8" s="1" t="n">
        <v>7</v>
      </c>
      <c r="G8" s="1" t="n">
        <v>7</v>
      </c>
    </row>
    <row r="9" customFormat="false" ht="15" hidden="false" customHeight="false" outlineLevel="0" collapsed="false">
      <c r="A9" s="3" t="s">
        <v>43</v>
      </c>
      <c r="B9" s="1" t="s">
        <v>43</v>
      </c>
      <c r="C9" s="1" t="s">
        <v>231</v>
      </c>
      <c r="D9" s="1" t="n">
        <v>10</v>
      </c>
      <c r="G9" s="1" t="n">
        <v>10</v>
      </c>
    </row>
    <row r="10" customFormat="false" ht="15" hidden="false" customHeight="false" outlineLevel="0" collapsed="false">
      <c r="A10" s="3" t="s">
        <v>46</v>
      </c>
      <c r="D10" s="1" t="n">
        <v>1</v>
      </c>
      <c r="G10" s="1" t="n">
        <v>1</v>
      </c>
    </row>
    <row r="11" customFormat="false" ht="15" hidden="false" customHeight="false" outlineLevel="0" collapsed="false">
      <c r="A11" s="3" t="s">
        <v>49</v>
      </c>
      <c r="B11" s="1" t="s">
        <v>49</v>
      </c>
      <c r="C11" s="1" t="s">
        <v>214</v>
      </c>
      <c r="D11" s="1" t="n">
        <v>10</v>
      </c>
      <c r="E11" s="1" t="n">
        <f aca="false">AVERAGE(D11:D15)</f>
        <v>6.4</v>
      </c>
      <c r="F11" s="1" t="n">
        <v>9</v>
      </c>
      <c r="G11" s="1" t="n">
        <f aca="false">MAX(F11,E11)</f>
        <v>9</v>
      </c>
    </row>
    <row r="12" customFormat="false" ht="15" hidden="false" customHeight="false" outlineLevel="0" collapsed="false">
      <c r="B12" s="1" t="s">
        <v>49</v>
      </c>
      <c r="C12" s="1" t="s">
        <v>232</v>
      </c>
      <c r="D12" s="1" t="n">
        <v>9</v>
      </c>
    </row>
    <row r="13" customFormat="false" ht="15" hidden="false" customHeight="false" outlineLevel="0" collapsed="false">
      <c r="B13" s="1" t="s">
        <v>49</v>
      </c>
      <c r="C13" s="1" t="s">
        <v>214</v>
      </c>
      <c r="D13" s="1" t="n">
        <v>6</v>
      </c>
    </row>
    <row r="14" customFormat="false" ht="15" hidden="false" customHeight="false" outlineLevel="0" collapsed="false">
      <c r="B14" s="1" t="s">
        <v>49</v>
      </c>
      <c r="C14" s="1" t="s">
        <v>233</v>
      </c>
      <c r="D14" s="1" t="n">
        <v>4</v>
      </c>
    </row>
    <row r="15" customFormat="false" ht="15" hidden="false" customHeight="false" outlineLevel="0" collapsed="false">
      <c r="B15" s="1" t="s">
        <v>49</v>
      </c>
      <c r="C15" s="1" t="s">
        <v>234</v>
      </c>
      <c r="D15" s="1" t="n">
        <v>3</v>
      </c>
    </row>
    <row r="16" customFormat="false" ht="15" hidden="false" customHeight="false" outlineLevel="0" collapsed="false">
      <c r="A16" s="3" t="s">
        <v>52</v>
      </c>
      <c r="B16" s="1" t="s">
        <v>52</v>
      </c>
      <c r="C16" s="1" t="s">
        <v>218</v>
      </c>
      <c r="D16" s="1" t="n">
        <v>6</v>
      </c>
      <c r="G16" s="1" t="n">
        <v>6</v>
      </c>
    </row>
    <row r="17" customFormat="false" ht="15" hidden="false" customHeight="false" outlineLevel="0" collapsed="false">
      <c r="A17" s="3" t="s">
        <v>55</v>
      </c>
      <c r="B17" s="1" t="s">
        <v>55</v>
      </c>
      <c r="C17" s="1" t="s">
        <v>235</v>
      </c>
      <c r="D17" s="1" t="n">
        <v>9</v>
      </c>
      <c r="G17" s="1" t="n">
        <v>9</v>
      </c>
    </row>
    <row r="18" customFormat="false" ht="15" hidden="false" customHeight="false" outlineLevel="0" collapsed="false">
      <c r="A18" s="3" t="s">
        <v>58</v>
      </c>
      <c r="B18" s="1" t="s">
        <v>58</v>
      </c>
      <c r="C18" s="1" t="s">
        <v>236</v>
      </c>
      <c r="D18" s="1" t="n">
        <v>4</v>
      </c>
      <c r="E18" s="1" t="n">
        <f aca="false">AVERAGE(D18:D19)</f>
        <v>3</v>
      </c>
      <c r="F18" s="1" t="n">
        <v>2</v>
      </c>
      <c r="G18" s="1" t="n">
        <f aca="false">MAX(F18,E18)</f>
        <v>3</v>
      </c>
    </row>
    <row r="19" customFormat="false" ht="15" hidden="false" customHeight="false" outlineLevel="0" collapsed="false">
      <c r="B19" s="1" t="s">
        <v>58</v>
      </c>
      <c r="C19" s="1" t="s">
        <v>237</v>
      </c>
      <c r="D19" s="1" t="n">
        <v>2</v>
      </c>
    </row>
    <row r="20" customFormat="false" ht="15" hidden="false" customHeight="false" outlineLevel="0" collapsed="false">
      <c r="A20" s="3" t="s">
        <v>61</v>
      </c>
      <c r="B20" s="1" t="s">
        <v>61</v>
      </c>
      <c r="C20" s="1" t="s">
        <v>223</v>
      </c>
      <c r="D20" s="1" t="n">
        <v>10</v>
      </c>
      <c r="G20" s="1" t="n">
        <v>10</v>
      </c>
    </row>
    <row r="21" customFormat="false" ht="15" hidden="false" customHeight="false" outlineLevel="0" collapsed="false">
      <c r="A21" s="3" t="s">
        <v>64</v>
      </c>
      <c r="B21" s="1" t="s">
        <v>64</v>
      </c>
      <c r="C21" s="1" t="s">
        <v>238</v>
      </c>
      <c r="D21" s="1" t="n">
        <v>10</v>
      </c>
      <c r="E21" s="1" t="n">
        <f aca="false">AVERAGE(D21:D24)</f>
        <v>6.5</v>
      </c>
      <c r="F21" s="1" t="n">
        <v>7</v>
      </c>
      <c r="G21" s="1" t="n">
        <f aca="false">MAX(F21,E21)</f>
        <v>7</v>
      </c>
    </row>
    <row r="22" customFormat="false" ht="15" hidden="false" customHeight="false" outlineLevel="0" collapsed="false">
      <c r="B22" s="1" t="s">
        <v>64</v>
      </c>
      <c r="C22" s="1" t="s">
        <v>239</v>
      </c>
      <c r="D22" s="1" t="n">
        <v>7</v>
      </c>
    </row>
    <row r="23" customFormat="false" ht="15" hidden="false" customHeight="false" outlineLevel="0" collapsed="false">
      <c r="B23" s="1" t="s">
        <v>64</v>
      </c>
      <c r="C23" s="1" t="s">
        <v>240</v>
      </c>
      <c r="D23" s="1" t="n">
        <v>5</v>
      </c>
    </row>
    <row r="24" customFormat="false" ht="15" hidden="false" customHeight="false" outlineLevel="0" collapsed="false">
      <c r="B24" s="1" t="s">
        <v>64</v>
      </c>
      <c r="C24" s="1" t="s">
        <v>241</v>
      </c>
      <c r="D24" s="1" t="n">
        <v>4</v>
      </c>
    </row>
    <row r="25" customFormat="false" ht="15" hidden="false" customHeight="false" outlineLevel="0" collapsed="false">
      <c r="A25" s="3" t="s">
        <v>67</v>
      </c>
      <c r="B25" s="1" t="s">
        <v>67</v>
      </c>
      <c r="C25" s="1" t="s">
        <v>242</v>
      </c>
      <c r="D25" s="1" t="n">
        <v>8</v>
      </c>
      <c r="G25" s="1" t="n">
        <v>8</v>
      </c>
    </row>
    <row r="26" customFormat="false" ht="15" hidden="false" customHeight="false" outlineLevel="0" collapsed="false">
      <c r="A26" s="3" t="s">
        <v>70</v>
      </c>
      <c r="D26" s="1" t="n">
        <v>1</v>
      </c>
      <c r="G26" s="1" t="n">
        <v>1</v>
      </c>
    </row>
    <row r="27" customFormat="false" ht="15" hidden="false" customHeight="false" outlineLevel="0" collapsed="false">
      <c r="A27" s="3" t="s">
        <v>73</v>
      </c>
      <c r="B27" s="1" t="s">
        <v>73</v>
      </c>
      <c r="C27" s="1" t="s">
        <v>218</v>
      </c>
      <c r="D27" s="1" t="n">
        <v>8</v>
      </c>
      <c r="G27" s="1" t="n">
        <v>8</v>
      </c>
    </row>
    <row r="28" customFormat="false" ht="15" hidden="false" customHeight="false" outlineLevel="0" collapsed="false">
      <c r="A28" s="3" t="s">
        <v>76</v>
      </c>
      <c r="B28" s="1" t="s">
        <v>76</v>
      </c>
      <c r="C28" s="1" t="s">
        <v>243</v>
      </c>
      <c r="D28" s="1" t="n">
        <v>9</v>
      </c>
      <c r="G28" s="1" t="n">
        <v>9</v>
      </c>
    </row>
    <row r="29" customFormat="false" ht="15" hidden="false" customHeight="false" outlineLevel="0" collapsed="false">
      <c r="A29" s="3" t="s">
        <v>79</v>
      </c>
      <c r="B29" s="1" t="s">
        <v>79</v>
      </c>
      <c r="C29" s="1" t="s">
        <v>244</v>
      </c>
      <c r="D29" s="1" t="n">
        <v>10</v>
      </c>
      <c r="G29" s="1" t="n">
        <v>10</v>
      </c>
    </row>
    <row r="30" customFormat="false" ht="15" hidden="false" customHeight="false" outlineLevel="0" collapsed="false">
      <c r="A30" s="3" t="s">
        <v>84</v>
      </c>
      <c r="D30" s="1" t="n">
        <v>1</v>
      </c>
      <c r="G30" s="1" t="n">
        <v>1</v>
      </c>
    </row>
    <row r="31" customFormat="false" ht="15" hidden="false" customHeight="false" outlineLevel="0" collapsed="false">
      <c r="A31" s="3" t="s">
        <v>87</v>
      </c>
      <c r="B31" s="1" t="s">
        <v>87</v>
      </c>
      <c r="C31" s="1" t="s">
        <v>245</v>
      </c>
      <c r="D31" s="1" t="n">
        <v>8</v>
      </c>
      <c r="G31" s="1" t="n">
        <v>8</v>
      </c>
    </row>
    <row r="32" customFormat="false" ht="15" hidden="false" customHeight="false" outlineLevel="0" collapsed="false">
      <c r="A32" s="3" t="s">
        <v>90</v>
      </c>
      <c r="B32" s="1" t="s">
        <v>90</v>
      </c>
      <c r="C32" s="1" t="s">
        <v>246</v>
      </c>
      <c r="D32" s="1" t="n">
        <v>10</v>
      </c>
      <c r="G32" s="1" t="n">
        <v>10</v>
      </c>
    </row>
    <row r="33" customFormat="false" ht="15" hidden="false" customHeight="false" outlineLevel="0" collapsed="false">
      <c r="A33" s="3" t="s">
        <v>93</v>
      </c>
      <c r="B33" s="1" t="s">
        <v>93</v>
      </c>
      <c r="C33" s="1" t="s">
        <v>215</v>
      </c>
      <c r="D33" s="1" t="n">
        <v>10</v>
      </c>
      <c r="G33" s="1" t="n">
        <v>10</v>
      </c>
    </row>
    <row r="34" customFormat="false" ht="15" hidden="false" customHeight="false" outlineLevel="0" collapsed="false">
      <c r="A34" s="3" t="s">
        <v>96</v>
      </c>
      <c r="B34" s="1" t="s">
        <v>96</v>
      </c>
      <c r="C34" s="1" t="s">
        <v>247</v>
      </c>
      <c r="D34" s="1" t="n">
        <v>10</v>
      </c>
      <c r="E34" s="1" t="n">
        <f aca="false">AVERAGE(D34:D40)</f>
        <v>9.14285714285714</v>
      </c>
      <c r="F34" s="1" t="n">
        <v>9</v>
      </c>
      <c r="G34" s="1" t="n">
        <f aca="false">ROUND(MAX(F34,E34),0)</f>
        <v>9</v>
      </c>
    </row>
    <row r="35" customFormat="false" ht="15" hidden="false" customHeight="false" outlineLevel="0" collapsed="false">
      <c r="B35" s="1" t="s">
        <v>96</v>
      </c>
      <c r="C35" s="1" t="s">
        <v>248</v>
      </c>
      <c r="D35" s="1" t="n">
        <v>10</v>
      </c>
    </row>
    <row r="36" customFormat="false" ht="15" hidden="false" customHeight="false" outlineLevel="0" collapsed="false">
      <c r="B36" s="1" t="s">
        <v>96</v>
      </c>
      <c r="C36" s="1" t="s">
        <v>218</v>
      </c>
      <c r="D36" s="1" t="n">
        <v>9</v>
      </c>
    </row>
    <row r="37" customFormat="false" ht="15" hidden="false" customHeight="false" outlineLevel="0" collapsed="false">
      <c r="B37" s="1" t="s">
        <v>96</v>
      </c>
      <c r="C37" s="1" t="s">
        <v>249</v>
      </c>
      <c r="D37" s="1" t="n">
        <v>9</v>
      </c>
    </row>
    <row r="38" customFormat="false" ht="15" hidden="false" customHeight="false" outlineLevel="0" collapsed="false">
      <c r="B38" s="1" t="s">
        <v>96</v>
      </c>
      <c r="C38" s="1" t="s">
        <v>250</v>
      </c>
      <c r="D38" s="1" t="n">
        <v>9</v>
      </c>
    </row>
    <row r="39" customFormat="false" ht="15" hidden="false" customHeight="false" outlineLevel="0" collapsed="false">
      <c r="B39" s="1" t="s">
        <v>96</v>
      </c>
      <c r="C39" s="1" t="s">
        <v>201</v>
      </c>
      <c r="D39" s="1" t="n">
        <v>9</v>
      </c>
    </row>
    <row r="40" customFormat="false" ht="15" hidden="false" customHeight="false" outlineLevel="0" collapsed="false">
      <c r="B40" s="1" t="s">
        <v>96</v>
      </c>
      <c r="C40" s="1" t="s">
        <v>251</v>
      </c>
      <c r="D40" s="1" t="n">
        <v>8</v>
      </c>
    </row>
    <row r="41" customFormat="false" ht="15" hidden="false" customHeight="false" outlineLevel="0" collapsed="false">
      <c r="A41" s="3" t="s">
        <v>99</v>
      </c>
      <c r="B41" s="1" t="s">
        <v>99</v>
      </c>
      <c r="C41" s="1" t="s">
        <v>252</v>
      </c>
      <c r="D41" s="1" t="n">
        <v>10</v>
      </c>
      <c r="G41" s="1" t="n">
        <v>10</v>
      </c>
    </row>
    <row r="42" customFormat="false" ht="15" hidden="false" customHeight="false" outlineLevel="0" collapsed="false">
      <c r="A42" s="3" t="s">
        <v>102</v>
      </c>
      <c r="G42" s="1" t="n">
        <v>1</v>
      </c>
    </row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28" colorId="64" zoomScale="80" zoomScaleNormal="80" zoomScalePageLayoutView="100" workbookViewId="0">
      <selection pane="topLeft" activeCell="B42" activeCellId="0" sqref="B42"/>
    </sheetView>
  </sheetViews>
  <sheetFormatPr defaultColWidth="9.6796875" defaultRowHeight="15" zeroHeight="false" outlineLevelRow="0" outlineLevelCol="0"/>
  <cols>
    <col collapsed="false" customWidth="true" hidden="false" outlineLevel="0" max="2" min="1" style="1" width="18.61"/>
    <col collapsed="false" customWidth="true" hidden="false" outlineLevel="0" max="3" min="3" style="1" width="22.2"/>
    <col collapsed="false" customWidth="true" hidden="false" outlineLevel="0" max="4" min="4" style="1" width="16.12"/>
  </cols>
  <sheetData>
    <row r="1" customFormat="false" ht="15" hidden="false" customHeight="false" outlineLevel="0" collapsed="false">
      <c r="B1" s="1" t="s">
        <v>5</v>
      </c>
      <c r="C1" s="1" t="s">
        <v>196</v>
      </c>
      <c r="D1" s="1" t="s">
        <v>197</v>
      </c>
      <c r="E1" s="1" t="s">
        <v>130</v>
      </c>
      <c r="F1" s="1" t="s">
        <v>198</v>
      </c>
      <c r="G1" s="1" t="s">
        <v>144</v>
      </c>
    </row>
    <row r="2" customFormat="false" ht="15" hidden="false" customHeight="false" outlineLevel="0" collapsed="false">
      <c r="A2" s="3" t="s">
        <v>17</v>
      </c>
      <c r="B2" s="1" t="s">
        <v>17</v>
      </c>
      <c r="C2" s="1" t="s">
        <v>253</v>
      </c>
      <c r="D2" s="1" t="n">
        <v>7</v>
      </c>
      <c r="G2" s="1" t="n">
        <v>7</v>
      </c>
    </row>
    <row r="3" customFormat="false" ht="15" hidden="false" customHeight="false" outlineLevel="0" collapsed="false">
      <c r="A3" s="3" t="s">
        <v>23</v>
      </c>
      <c r="D3" s="1" t="n">
        <v>1</v>
      </c>
      <c r="G3" s="1" t="n">
        <v>1</v>
      </c>
    </row>
    <row r="4" customFormat="false" ht="15" hidden="false" customHeight="false" outlineLevel="0" collapsed="false">
      <c r="A4" s="3" t="s">
        <v>26</v>
      </c>
      <c r="D4" s="1" t="n">
        <v>1</v>
      </c>
      <c r="G4" s="1" t="n">
        <v>1</v>
      </c>
    </row>
    <row r="5" customFormat="false" ht="15" hidden="false" customHeight="false" outlineLevel="0" collapsed="false">
      <c r="A5" s="3" t="s">
        <v>30</v>
      </c>
      <c r="B5" s="1" t="s">
        <v>30</v>
      </c>
      <c r="C5" s="1" t="s">
        <v>249</v>
      </c>
      <c r="D5" s="1" t="n">
        <v>7</v>
      </c>
      <c r="G5" s="1" t="n">
        <v>7</v>
      </c>
    </row>
    <row r="6" customFormat="false" ht="15" hidden="false" customHeight="false" outlineLevel="0" collapsed="false">
      <c r="A6" s="3" t="s">
        <v>35</v>
      </c>
      <c r="B6" s="1" t="s">
        <v>35</v>
      </c>
      <c r="C6" s="1" t="s">
        <v>227</v>
      </c>
      <c r="D6" s="1" t="n">
        <v>9</v>
      </c>
      <c r="G6" s="1" t="n">
        <v>9</v>
      </c>
    </row>
    <row r="7" customFormat="false" ht="15" hidden="false" customHeight="false" outlineLevel="0" collapsed="false">
      <c r="A7" s="3" t="s">
        <v>39</v>
      </c>
      <c r="B7" s="1" t="s">
        <v>39</v>
      </c>
      <c r="C7" s="1" t="s">
        <v>254</v>
      </c>
      <c r="D7" s="1" t="n">
        <v>9</v>
      </c>
      <c r="E7" s="1" t="n">
        <f aca="false">AVERAGE(D7:D15)</f>
        <v>6.33333333333333</v>
      </c>
      <c r="F7" s="1" t="n">
        <v>7</v>
      </c>
      <c r="G7" s="1" t="n">
        <f aca="false">MAX(F7,E7)</f>
        <v>7</v>
      </c>
    </row>
    <row r="8" customFormat="false" ht="15" hidden="false" customHeight="false" outlineLevel="0" collapsed="false">
      <c r="B8" s="1" t="s">
        <v>39</v>
      </c>
      <c r="C8" s="1" t="s">
        <v>255</v>
      </c>
      <c r="D8" s="1" t="n">
        <v>9</v>
      </c>
    </row>
    <row r="9" customFormat="false" ht="15" hidden="false" customHeight="false" outlineLevel="0" collapsed="false">
      <c r="B9" s="1" t="s">
        <v>39</v>
      </c>
      <c r="C9" s="1" t="s">
        <v>256</v>
      </c>
      <c r="D9" s="1" t="n">
        <v>7</v>
      </c>
    </row>
    <row r="10" customFormat="false" ht="15" hidden="false" customHeight="false" outlineLevel="0" collapsed="false">
      <c r="B10" s="1" t="s">
        <v>39</v>
      </c>
      <c r="C10" s="1" t="s">
        <v>257</v>
      </c>
      <c r="D10" s="1" t="n">
        <v>7</v>
      </c>
    </row>
    <row r="11" customFormat="false" ht="15" hidden="false" customHeight="false" outlineLevel="0" collapsed="false">
      <c r="B11" s="1" t="s">
        <v>39</v>
      </c>
      <c r="C11" s="1" t="s">
        <v>258</v>
      </c>
      <c r="D11" s="1" t="n">
        <v>6</v>
      </c>
    </row>
    <row r="12" customFormat="false" ht="15" hidden="false" customHeight="false" outlineLevel="0" collapsed="false">
      <c r="B12" s="1" t="s">
        <v>39</v>
      </c>
      <c r="C12" s="1" t="s">
        <v>259</v>
      </c>
      <c r="D12" s="1" t="n">
        <v>6</v>
      </c>
    </row>
    <row r="13" customFormat="false" ht="15" hidden="false" customHeight="false" outlineLevel="0" collapsed="false">
      <c r="B13" s="1" t="s">
        <v>39</v>
      </c>
      <c r="C13" s="1" t="s">
        <v>215</v>
      </c>
      <c r="D13" s="1" t="n">
        <v>6</v>
      </c>
    </row>
    <row r="14" customFormat="false" ht="15" hidden="false" customHeight="false" outlineLevel="0" collapsed="false">
      <c r="B14" s="1" t="s">
        <v>39</v>
      </c>
      <c r="C14" s="1" t="s">
        <v>260</v>
      </c>
      <c r="D14" s="1" t="n">
        <v>4</v>
      </c>
    </row>
    <row r="15" customFormat="false" ht="15" hidden="false" customHeight="false" outlineLevel="0" collapsed="false">
      <c r="B15" s="1" t="s">
        <v>39</v>
      </c>
      <c r="C15" s="1" t="s">
        <v>261</v>
      </c>
      <c r="D15" s="1" t="n">
        <v>3</v>
      </c>
    </row>
    <row r="16" customFormat="false" ht="15" hidden="false" customHeight="false" outlineLevel="0" collapsed="false">
      <c r="A16" s="3" t="s">
        <v>43</v>
      </c>
      <c r="B16" s="1" t="s">
        <v>43</v>
      </c>
      <c r="C16" s="1" t="s">
        <v>262</v>
      </c>
      <c r="D16" s="1" t="n">
        <v>5</v>
      </c>
      <c r="G16" s="1" t="n">
        <v>5</v>
      </c>
    </row>
    <row r="17" customFormat="false" ht="15" hidden="false" customHeight="false" outlineLevel="0" collapsed="false">
      <c r="A17" s="3" t="s">
        <v>46</v>
      </c>
      <c r="D17" s="1" t="n">
        <v>1</v>
      </c>
      <c r="G17" s="1" t="n">
        <v>1</v>
      </c>
    </row>
    <row r="18" customFormat="false" ht="15" hidden="false" customHeight="false" outlineLevel="0" collapsed="false">
      <c r="A18" s="3" t="s">
        <v>49</v>
      </c>
      <c r="B18" s="1" t="s">
        <v>49</v>
      </c>
      <c r="C18" s="1" t="s">
        <v>263</v>
      </c>
      <c r="D18" s="1" t="n">
        <v>9</v>
      </c>
      <c r="G18" s="1" t="n">
        <v>9</v>
      </c>
    </row>
    <row r="19" customFormat="false" ht="15" hidden="false" customHeight="false" outlineLevel="0" collapsed="false">
      <c r="A19" s="3" t="s">
        <v>52</v>
      </c>
      <c r="B19" s="1" t="s">
        <v>52</v>
      </c>
      <c r="C19" s="1" t="s">
        <v>264</v>
      </c>
      <c r="D19" s="1" t="n">
        <v>7</v>
      </c>
      <c r="E19" s="1" t="n">
        <f aca="false">AVERAGE(D19:D24)</f>
        <v>4.83333333333333</v>
      </c>
      <c r="F19" s="1" t="n">
        <v>6</v>
      </c>
      <c r="G19" s="1" t="n">
        <f aca="false">MAX(F19,E19)</f>
        <v>6</v>
      </c>
    </row>
    <row r="20" customFormat="false" ht="15" hidden="false" customHeight="false" outlineLevel="0" collapsed="false">
      <c r="B20" s="1" t="s">
        <v>52</v>
      </c>
      <c r="C20" s="1" t="s">
        <v>265</v>
      </c>
      <c r="D20" s="1" t="n">
        <v>6</v>
      </c>
    </row>
    <row r="21" customFormat="false" ht="15" hidden="false" customHeight="false" outlineLevel="0" collapsed="false">
      <c r="B21" s="1" t="s">
        <v>52</v>
      </c>
      <c r="C21" s="1" t="s">
        <v>266</v>
      </c>
      <c r="D21" s="1" t="n">
        <v>6</v>
      </c>
    </row>
    <row r="22" customFormat="false" ht="15" hidden="false" customHeight="false" outlineLevel="0" collapsed="false">
      <c r="B22" s="1" t="s">
        <v>52</v>
      </c>
      <c r="C22" s="1" t="s">
        <v>267</v>
      </c>
      <c r="D22" s="1" t="n">
        <v>5</v>
      </c>
    </row>
    <row r="23" customFormat="false" ht="15" hidden="false" customHeight="false" outlineLevel="0" collapsed="false">
      <c r="B23" s="1" t="s">
        <v>52</v>
      </c>
      <c r="C23" s="1" t="s">
        <v>268</v>
      </c>
      <c r="D23" s="1" t="n">
        <v>3</v>
      </c>
    </row>
    <row r="24" customFormat="false" ht="15" hidden="false" customHeight="false" outlineLevel="0" collapsed="false">
      <c r="B24" s="1" t="s">
        <v>52</v>
      </c>
      <c r="C24" s="1" t="s">
        <v>269</v>
      </c>
      <c r="D24" s="1" t="n">
        <v>2</v>
      </c>
    </row>
    <row r="25" customFormat="false" ht="15" hidden="false" customHeight="false" outlineLevel="0" collapsed="false">
      <c r="A25" s="3" t="s">
        <v>55</v>
      </c>
      <c r="B25" s="1" t="s">
        <v>55</v>
      </c>
      <c r="C25" s="1" t="s">
        <v>270</v>
      </c>
      <c r="D25" s="1" t="n">
        <v>9</v>
      </c>
      <c r="E25" s="1" t="n">
        <f aca="false">AVERAGE(D25:D26)</f>
        <v>7.5</v>
      </c>
      <c r="F25" s="1" t="n">
        <v>6</v>
      </c>
      <c r="G25" s="1" t="n">
        <f aca="false">ROUND(MAX(F25,E25),0)</f>
        <v>8</v>
      </c>
    </row>
    <row r="26" customFormat="false" ht="15" hidden="false" customHeight="false" outlineLevel="0" collapsed="false">
      <c r="B26" s="1" t="s">
        <v>55</v>
      </c>
      <c r="C26" s="1" t="s">
        <v>218</v>
      </c>
      <c r="D26" s="1" t="n">
        <v>6</v>
      </c>
    </row>
    <row r="27" customFormat="false" ht="15" hidden="false" customHeight="false" outlineLevel="0" collapsed="false">
      <c r="A27" s="3" t="s">
        <v>58</v>
      </c>
      <c r="B27" s="1" t="s">
        <v>58</v>
      </c>
      <c r="C27" s="1" t="s">
        <v>218</v>
      </c>
      <c r="D27" s="1" t="n">
        <v>8</v>
      </c>
      <c r="G27" s="1" t="n">
        <v>8</v>
      </c>
    </row>
    <row r="28" customFormat="false" ht="15" hidden="false" customHeight="false" outlineLevel="0" collapsed="false">
      <c r="A28" s="3" t="s">
        <v>61</v>
      </c>
      <c r="B28" s="1" t="s">
        <v>61</v>
      </c>
      <c r="C28" s="1" t="s">
        <v>271</v>
      </c>
      <c r="D28" s="1" t="n">
        <v>9</v>
      </c>
      <c r="E28" s="1" t="n">
        <f aca="false">AVERAGE(D28:D31)</f>
        <v>7</v>
      </c>
      <c r="F28" s="1" t="n">
        <v>7</v>
      </c>
      <c r="G28" s="1" t="n">
        <f aca="false">MAX(F28,E28)</f>
        <v>7</v>
      </c>
    </row>
    <row r="29" customFormat="false" ht="15" hidden="false" customHeight="false" outlineLevel="0" collapsed="false">
      <c r="B29" s="1" t="s">
        <v>61</v>
      </c>
      <c r="C29" s="1" t="s">
        <v>272</v>
      </c>
      <c r="D29" s="1" t="n">
        <v>7</v>
      </c>
    </row>
    <row r="30" customFormat="false" ht="15" hidden="false" customHeight="false" outlineLevel="0" collapsed="false">
      <c r="B30" s="1" t="s">
        <v>61</v>
      </c>
      <c r="C30" s="1" t="s">
        <v>215</v>
      </c>
      <c r="D30" s="1" t="n">
        <v>6</v>
      </c>
    </row>
    <row r="31" customFormat="false" ht="15" hidden="false" customHeight="false" outlineLevel="0" collapsed="false">
      <c r="B31" s="1" t="s">
        <v>61</v>
      </c>
      <c r="C31" s="1" t="s">
        <v>215</v>
      </c>
      <c r="D31" s="1" t="n">
        <v>6</v>
      </c>
    </row>
    <row r="32" customFormat="false" ht="15" hidden="false" customHeight="false" outlineLevel="0" collapsed="false">
      <c r="A32" s="3" t="s">
        <v>64</v>
      </c>
      <c r="B32" s="1" t="s">
        <v>64</v>
      </c>
      <c r="C32" s="1" t="s">
        <v>273</v>
      </c>
      <c r="D32" s="1" t="n">
        <v>5</v>
      </c>
      <c r="E32" s="1" t="n">
        <f aca="false">AVERAGE(D32:D35)</f>
        <v>4.75</v>
      </c>
      <c r="F32" s="1" t="n">
        <v>4</v>
      </c>
      <c r="G32" s="1" t="n">
        <f aca="false">ROUND(MAX(F32,E32),0)</f>
        <v>5</v>
      </c>
    </row>
    <row r="33" customFormat="false" ht="15" hidden="false" customHeight="false" outlineLevel="0" collapsed="false">
      <c r="B33" s="1" t="s">
        <v>64</v>
      </c>
      <c r="C33" s="1" t="s">
        <v>274</v>
      </c>
      <c r="D33" s="1" t="n">
        <v>5</v>
      </c>
    </row>
    <row r="34" customFormat="false" ht="15" hidden="false" customHeight="false" outlineLevel="0" collapsed="false">
      <c r="B34" s="1" t="s">
        <v>64</v>
      </c>
      <c r="C34" s="1" t="s">
        <v>275</v>
      </c>
      <c r="D34" s="1" t="n">
        <v>5</v>
      </c>
    </row>
    <row r="35" customFormat="false" ht="15" hidden="false" customHeight="false" outlineLevel="0" collapsed="false">
      <c r="B35" s="1" t="s">
        <v>64</v>
      </c>
      <c r="C35" s="1" t="s">
        <v>276</v>
      </c>
      <c r="D35" s="1" t="n">
        <v>4</v>
      </c>
    </row>
    <row r="36" customFormat="false" ht="15" hidden="false" customHeight="false" outlineLevel="0" collapsed="false">
      <c r="A36" s="3" t="s">
        <v>67</v>
      </c>
      <c r="D36" s="1" t="n">
        <v>1</v>
      </c>
      <c r="G36" s="1" t="n">
        <v>1</v>
      </c>
    </row>
    <row r="37" customFormat="false" ht="15" hidden="false" customHeight="false" outlineLevel="0" collapsed="false">
      <c r="A37" s="3" t="s">
        <v>70</v>
      </c>
      <c r="B37" s="1" t="s">
        <v>70</v>
      </c>
      <c r="C37" s="1" t="s">
        <v>277</v>
      </c>
      <c r="D37" s="1" t="n">
        <v>8</v>
      </c>
      <c r="E37" s="1" t="n">
        <f aca="false">AVERAGE(D37:D40)</f>
        <v>6.5</v>
      </c>
      <c r="F37" s="1" t="n">
        <v>7</v>
      </c>
      <c r="G37" s="1" t="n">
        <f aca="false">MAX(F37,E37)</f>
        <v>7</v>
      </c>
    </row>
    <row r="38" customFormat="false" ht="15" hidden="false" customHeight="false" outlineLevel="0" collapsed="false">
      <c r="B38" s="1" t="s">
        <v>70</v>
      </c>
      <c r="C38" s="1" t="s">
        <v>278</v>
      </c>
      <c r="D38" s="1" t="n">
        <v>8</v>
      </c>
    </row>
    <row r="39" customFormat="false" ht="15" hidden="false" customHeight="false" outlineLevel="0" collapsed="false">
      <c r="B39" s="1" t="s">
        <v>70</v>
      </c>
      <c r="C39" s="1" t="s">
        <v>279</v>
      </c>
      <c r="D39" s="1" t="n">
        <v>7</v>
      </c>
    </row>
    <row r="40" customFormat="false" ht="15" hidden="false" customHeight="false" outlineLevel="0" collapsed="false">
      <c r="B40" s="1" t="s">
        <v>70</v>
      </c>
      <c r="C40" s="1" t="s">
        <v>280</v>
      </c>
      <c r="D40" s="1" t="n">
        <v>3</v>
      </c>
    </row>
    <row r="41" customFormat="false" ht="15" hidden="false" customHeight="false" outlineLevel="0" collapsed="false">
      <c r="A41" s="3" t="s">
        <v>73</v>
      </c>
      <c r="B41" s="1" t="s">
        <v>73</v>
      </c>
      <c r="C41" s="1" t="s">
        <v>218</v>
      </c>
      <c r="D41" s="1" t="n">
        <v>9</v>
      </c>
      <c r="G41" s="1" t="n">
        <v>9</v>
      </c>
    </row>
    <row r="42" customFormat="false" ht="15" hidden="false" customHeight="false" outlineLevel="0" collapsed="false">
      <c r="A42" s="3" t="s">
        <v>76</v>
      </c>
      <c r="B42" s="1" t="s">
        <v>73</v>
      </c>
      <c r="C42" s="1" t="s">
        <v>218</v>
      </c>
      <c r="D42" s="1" t="n">
        <v>5</v>
      </c>
      <c r="G42" s="1" t="n">
        <v>5</v>
      </c>
    </row>
    <row r="43" customFormat="false" ht="15" hidden="false" customHeight="false" outlineLevel="0" collapsed="false">
      <c r="A43" s="3" t="s">
        <v>79</v>
      </c>
      <c r="B43" s="1" t="s">
        <v>79</v>
      </c>
      <c r="C43" s="1" t="s">
        <v>281</v>
      </c>
      <c r="D43" s="1" t="n">
        <v>10</v>
      </c>
      <c r="G43" s="1" t="n">
        <v>10</v>
      </c>
    </row>
    <row r="44" customFormat="false" ht="15" hidden="false" customHeight="false" outlineLevel="0" collapsed="false">
      <c r="A44" s="3" t="s">
        <v>84</v>
      </c>
      <c r="D44" s="1" t="n">
        <v>1</v>
      </c>
      <c r="G44" s="1" t="n">
        <v>1</v>
      </c>
    </row>
    <row r="45" customFormat="false" ht="15" hidden="false" customHeight="false" outlineLevel="0" collapsed="false">
      <c r="A45" s="3" t="s">
        <v>87</v>
      </c>
      <c r="B45" s="1" t="s">
        <v>87</v>
      </c>
      <c r="C45" s="1" t="s">
        <v>270</v>
      </c>
      <c r="D45" s="1" t="n">
        <v>7</v>
      </c>
      <c r="G45" s="1" t="n">
        <v>7</v>
      </c>
    </row>
    <row r="46" customFormat="false" ht="15" hidden="false" customHeight="false" outlineLevel="0" collapsed="false">
      <c r="A46" s="3" t="s">
        <v>90</v>
      </c>
      <c r="B46" s="1" t="s">
        <v>90</v>
      </c>
      <c r="C46" s="1" t="s">
        <v>282</v>
      </c>
      <c r="D46" s="1" t="n">
        <v>9</v>
      </c>
      <c r="E46" s="1" t="n">
        <f aca="false">AVERAGE(D46:D47)</f>
        <v>9</v>
      </c>
      <c r="F46" s="1" t="n">
        <v>9</v>
      </c>
      <c r="G46" s="1" t="n">
        <f aca="false">MAX(F46,E46)</f>
        <v>9</v>
      </c>
    </row>
    <row r="47" customFormat="false" ht="15" hidden="false" customHeight="false" outlineLevel="0" collapsed="false">
      <c r="B47" s="1" t="s">
        <v>90</v>
      </c>
      <c r="C47" s="1" t="s">
        <v>283</v>
      </c>
      <c r="D47" s="1" t="n">
        <v>9</v>
      </c>
    </row>
    <row r="48" customFormat="false" ht="15" hidden="false" customHeight="false" outlineLevel="0" collapsed="false">
      <c r="A48" s="3" t="s">
        <v>93</v>
      </c>
      <c r="B48" s="1" t="s">
        <v>93</v>
      </c>
      <c r="C48" s="1" t="s">
        <v>218</v>
      </c>
      <c r="D48" s="1" t="n">
        <v>10</v>
      </c>
      <c r="G48" s="1" t="n">
        <v>10</v>
      </c>
    </row>
    <row r="49" customFormat="false" ht="15" hidden="false" customHeight="false" outlineLevel="0" collapsed="false">
      <c r="A49" s="3" t="s">
        <v>96</v>
      </c>
      <c r="B49" s="1" t="s">
        <v>96</v>
      </c>
      <c r="C49" s="1" t="s">
        <v>267</v>
      </c>
      <c r="D49" s="1" t="n">
        <v>10</v>
      </c>
      <c r="G49" s="1" t="n">
        <v>10</v>
      </c>
    </row>
    <row r="50" customFormat="false" ht="15" hidden="false" customHeight="false" outlineLevel="0" collapsed="false">
      <c r="A50" s="3" t="s">
        <v>99</v>
      </c>
      <c r="B50" s="1" t="s">
        <v>99</v>
      </c>
      <c r="C50" s="1" t="s">
        <v>284</v>
      </c>
      <c r="D50" s="1" t="n">
        <v>7</v>
      </c>
      <c r="G50" s="1" t="n">
        <v>7</v>
      </c>
    </row>
    <row r="51" customFormat="false" ht="15" hidden="false" customHeight="false" outlineLevel="0" collapsed="false">
      <c r="A51" s="3" t="s">
        <v>102</v>
      </c>
      <c r="B51" s="1" t="s">
        <v>102</v>
      </c>
      <c r="C51" s="1" t="s">
        <v>215</v>
      </c>
      <c r="D51" s="1" t="n">
        <v>5</v>
      </c>
      <c r="G51" s="1" t="n">
        <v>5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3" activeCellId="0" sqref="E3"/>
    </sheetView>
  </sheetViews>
  <sheetFormatPr defaultColWidth="9.6796875" defaultRowHeight="12.8" zeroHeight="false" outlineLevelRow="0" outlineLevelCol="0"/>
  <cols>
    <col collapsed="false" customWidth="true" hidden="false" outlineLevel="0" max="1" min="1" style="1" width="11.51"/>
    <col collapsed="false" customWidth="true" hidden="false" outlineLevel="0" max="2" min="2" style="1" width="22.56"/>
    <col collapsed="false" customWidth="true" hidden="false" outlineLevel="0" max="3" min="3" style="1" width="21.19"/>
  </cols>
  <sheetData>
    <row r="1" customFormat="false" ht="15" hidden="false" customHeight="false" outlineLevel="0" collapsed="false">
      <c r="A1" s="1" t="s">
        <v>5</v>
      </c>
      <c r="B1" s="1" t="s">
        <v>285</v>
      </c>
      <c r="C1" s="1" t="s">
        <v>196</v>
      </c>
      <c r="D1" s="1" t="s">
        <v>197</v>
      </c>
      <c r="E1" s="1" t="s">
        <v>130</v>
      </c>
      <c r="F1" s="1" t="s">
        <v>198</v>
      </c>
      <c r="G1" s="1" t="s">
        <v>144</v>
      </c>
    </row>
    <row r="2" customFormat="false" ht="15" hidden="false" customHeight="false" outlineLevel="0" collapsed="false">
      <c r="A2" s="1" t="s">
        <v>23</v>
      </c>
      <c r="B2" s="1" t="s">
        <v>286</v>
      </c>
      <c r="C2" s="1" t="s">
        <v>287</v>
      </c>
      <c r="D2" s="1" t="n">
        <v>2.5</v>
      </c>
      <c r="G2" s="1" t="n">
        <v>3</v>
      </c>
    </row>
    <row r="3" customFormat="false" ht="15" hidden="false" customHeight="false" outlineLevel="0" collapsed="false">
      <c r="A3" s="1" t="s">
        <v>46</v>
      </c>
      <c r="B3" s="1" t="s">
        <v>288</v>
      </c>
      <c r="C3" s="1" t="s">
        <v>289</v>
      </c>
      <c r="D3" s="1" t="n">
        <v>8.75</v>
      </c>
      <c r="E3" s="1" t="n">
        <f aca="false">AVERAGE(D3:D7)</f>
        <v>5.5</v>
      </c>
      <c r="F3" s="1" t="n">
        <v>7.5</v>
      </c>
      <c r="G3" s="1" t="n">
        <f aca="false">ROUND(MAX(F3,E3),0)</f>
        <v>8</v>
      </c>
    </row>
    <row r="4" customFormat="false" ht="15" hidden="false" customHeight="false" outlineLevel="0" collapsed="false">
      <c r="A4" s="1" t="s">
        <v>46</v>
      </c>
      <c r="B4" s="1" t="s">
        <v>290</v>
      </c>
      <c r="C4" s="1" t="s">
        <v>291</v>
      </c>
      <c r="D4" s="1" t="n">
        <v>7.5</v>
      </c>
    </row>
    <row r="5" customFormat="false" ht="15" hidden="false" customHeight="false" outlineLevel="0" collapsed="false">
      <c r="A5" s="1" t="s">
        <v>46</v>
      </c>
      <c r="B5" s="1" t="s">
        <v>292</v>
      </c>
      <c r="C5" s="1" t="s">
        <v>217</v>
      </c>
      <c r="D5" s="1" t="n">
        <v>5</v>
      </c>
    </row>
    <row r="6" customFormat="false" ht="15" hidden="false" customHeight="false" outlineLevel="0" collapsed="false">
      <c r="A6" s="1" t="s">
        <v>46</v>
      </c>
      <c r="B6" s="1" t="s">
        <v>293</v>
      </c>
      <c r="C6" s="1" t="s">
        <v>210</v>
      </c>
      <c r="D6" s="1" t="n">
        <v>3.75</v>
      </c>
    </row>
    <row r="7" customFormat="false" ht="15" hidden="false" customHeight="false" outlineLevel="0" collapsed="false">
      <c r="A7" s="1" t="s">
        <v>46</v>
      </c>
      <c r="B7" s="1" t="s">
        <v>294</v>
      </c>
      <c r="C7" s="1" t="s">
        <v>295</v>
      </c>
      <c r="D7" s="1" t="n">
        <v>2.5</v>
      </c>
    </row>
    <row r="8" customFormat="false" ht="15" hidden="false" customHeight="false" outlineLevel="0" collapsed="false">
      <c r="A8" s="1" t="s">
        <v>58</v>
      </c>
      <c r="B8" s="1" t="s">
        <v>296</v>
      </c>
      <c r="C8" s="1" t="s">
        <v>297</v>
      </c>
      <c r="D8" s="1" t="n">
        <v>7.5</v>
      </c>
      <c r="G8" s="1" t="n">
        <v>8</v>
      </c>
    </row>
    <row r="9" customFormat="false" ht="15" hidden="false" customHeight="false" outlineLevel="0" collapsed="false">
      <c r="A9" s="1" t="s">
        <v>70</v>
      </c>
      <c r="B9" s="1" t="s">
        <v>298</v>
      </c>
      <c r="C9" s="1" t="s">
        <v>299</v>
      </c>
      <c r="D9" s="1" t="n">
        <v>10</v>
      </c>
      <c r="E9" s="1" t="n">
        <f aca="false">AVERAGE(D9:D12)</f>
        <v>5.9375</v>
      </c>
      <c r="F9" s="1" t="n">
        <v>7.75</v>
      </c>
      <c r="G9" s="1" t="n">
        <f aca="false">ROUND(MAX(F9,E9),0)</f>
        <v>8</v>
      </c>
    </row>
    <row r="10" customFormat="false" ht="15" hidden="false" customHeight="false" outlineLevel="0" collapsed="false">
      <c r="A10" s="1" t="s">
        <v>70</v>
      </c>
      <c r="B10" s="1" t="s">
        <v>288</v>
      </c>
      <c r="C10" s="1" t="s">
        <v>300</v>
      </c>
      <c r="D10" s="1" t="n">
        <v>8.75</v>
      </c>
    </row>
    <row r="11" customFormat="false" ht="15" hidden="false" customHeight="false" outlineLevel="0" collapsed="false">
      <c r="A11" s="1" t="s">
        <v>70</v>
      </c>
      <c r="B11" s="1" t="s">
        <v>301</v>
      </c>
      <c r="C11" s="1" t="s">
        <v>241</v>
      </c>
      <c r="D11" s="1" t="n">
        <v>3.75</v>
      </c>
    </row>
    <row r="12" customFormat="false" ht="15" hidden="false" customHeight="false" outlineLevel="0" collapsed="false">
      <c r="A12" s="1" t="s">
        <v>70</v>
      </c>
      <c r="B12" s="1" t="s">
        <v>294</v>
      </c>
      <c r="C12" s="1" t="s">
        <v>302</v>
      </c>
      <c r="D12" s="1" t="n">
        <v>1.25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6" activeCellId="0" sqref="D6"/>
    </sheetView>
  </sheetViews>
  <sheetFormatPr defaultColWidth="9.6796875" defaultRowHeight="12.8" zeroHeight="false" outlineLevelRow="0" outlineLevelCol="0"/>
  <cols>
    <col collapsed="false" customWidth="true" hidden="false" outlineLevel="0" max="1" min="1" style="1" width="10.39"/>
    <col collapsed="false" customWidth="true" hidden="false" outlineLevel="0" max="2" min="2" style="1" width="22.56"/>
    <col collapsed="false" customWidth="true" hidden="false" outlineLevel="0" max="3" min="3" style="1" width="21.19"/>
    <col collapsed="false" customWidth="true" hidden="false" outlineLevel="0" max="4" min="4" style="1" width="16.12"/>
  </cols>
  <sheetData>
    <row r="1" customFormat="false" ht="15" hidden="false" customHeight="false" outlineLevel="0" collapsed="false">
      <c r="A1" s="1" t="s">
        <v>5</v>
      </c>
      <c r="B1" s="1" t="s">
        <v>285</v>
      </c>
      <c r="C1" s="1" t="s">
        <v>196</v>
      </c>
      <c r="D1" s="1" t="s">
        <v>197</v>
      </c>
      <c r="E1" s="1" t="s">
        <v>130</v>
      </c>
      <c r="F1" s="1" t="s">
        <v>198</v>
      </c>
      <c r="G1" s="1" t="s">
        <v>144</v>
      </c>
    </row>
    <row r="2" customFormat="false" ht="15" hidden="false" customHeight="false" outlineLevel="0" collapsed="false">
      <c r="A2" s="1" t="s">
        <v>23</v>
      </c>
      <c r="B2" s="1" t="s">
        <v>303</v>
      </c>
      <c r="C2" s="1" t="s">
        <v>304</v>
      </c>
      <c r="D2" s="1" t="n">
        <v>2.5</v>
      </c>
      <c r="G2" s="1" t="n">
        <v>3</v>
      </c>
    </row>
    <row r="3" customFormat="false" ht="15" hidden="false" customHeight="false" outlineLevel="0" collapsed="false">
      <c r="A3" s="1" t="s">
        <v>46</v>
      </c>
      <c r="B3" s="1" t="s">
        <v>305</v>
      </c>
      <c r="C3" s="1" t="s">
        <v>297</v>
      </c>
      <c r="D3" s="1" t="n">
        <v>8.75</v>
      </c>
      <c r="E3" s="1" t="n">
        <f aca="false">AVERAGE(D3:D5)</f>
        <v>7.08333333333333</v>
      </c>
      <c r="F3" s="1" t="n">
        <v>8</v>
      </c>
      <c r="G3" s="1" t="n">
        <f aca="false">ROUND(MAX(F3,E3),0)</f>
        <v>8</v>
      </c>
    </row>
    <row r="4" customFormat="false" ht="15" hidden="false" customHeight="false" outlineLevel="0" collapsed="false">
      <c r="A4" s="1" t="s">
        <v>46</v>
      </c>
      <c r="B4" s="1" t="s">
        <v>306</v>
      </c>
      <c r="C4" s="1" t="s">
        <v>307</v>
      </c>
      <c r="D4" s="1" t="n">
        <v>7.5</v>
      </c>
    </row>
    <row r="5" customFormat="false" ht="15" hidden="false" customHeight="false" outlineLevel="0" collapsed="false">
      <c r="A5" s="1" t="s">
        <v>46</v>
      </c>
      <c r="B5" s="1" t="s">
        <v>308</v>
      </c>
      <c r="C5" s="1" t="s">
        <v>210</v>
      </c>
      <c r="D5" s="1" t="n">
        <v>5</v>
      </c>
    </row>
    <row r="6" customFormat="false" ht="15" hidden="false" customHeight="false" outlineLevel="0" collapsed="false">
      <c r="A6" s="1" t="s">
        <v>67</v>
      </c>
      <c r="B6" s="1" t="s">
        <v>309</v>
      </c>
      <c r="C6" s="1" t="s">
        <v>310</v>
      </c>
      <c r="D6" s="1" t="n">
        <v>8.75</v>
      </c>
      <c r="G6" s="1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B17" colorId="64" zoomScale="80" zoomScaleNormal="80" zoomScalePageLayoutView="100" workbookViewId="0">
      <selection pane="topLeft" activeCell="I2" activeCellId="0" sqref="I2"/>
    </sheetView>
  </sheetViews>
  <sheetFormatPr defaultColWidth="9.5390625" defaultRowHeight="12.8" zeroHeight="false" outlineLevelRow="0" outlineLevelCol="0"/>
  <cols>
    <col collapsed="false" customWidth="true" hidden="false" outlineLevel="0" max="3" min="2" style="1" width="18.61"/>
    <col collapsed="false" customWidth="true" hidden="false" outlineLevel="0" max="4" min="4" style="1" width="21.98"/>
    <col collapsed="false" customWidth="true" hidden="false" outlineLevel="0" max="5" min="5" style="1" width="22.2"/>
  </cols>
  <sheetData>
    <row r="1" customFormat="false" ht="15" hidden="false" customHeight="false" outlineLevel="0" collapsed="false">
      <c r="C1" s="1" t="s">
        <v>5</v>
      </c>
      <c r="D1" s="1" t="s">
        <v>4</v>
      </c>
      <c r="E1" s="1" t="s">
        <v>196</v>
      </c>
      <c r="F1" s="1" t="s">
        <v>197</v>
      </c>
      <c r="G1" s="1" t="s">
        <v>130</v>
      </c>
      <c r="H1" s="1" t="s">
        <v>311</v>
      </c>
      <c r="I1" s="1" t="s">
        <v>144</v>
      </c>
    </row>
    <row r="2" customFormat="false" ht="15" hidden="false" customHeight="false" outlineLevel="0" collapsed="false">
      <c r="A2" s="1" t="n">
        <v>1</v>
      </c>
      <c r="B2" s="3" t="s">
        <v>17</v>
      </c>
      <c r="C2" s="1" t="s">
        <v>17</v>
      </c>
      <c r="D2" s="1" t="s">
        <v>16</v>
      </c>
      <c r="E2" s="1" t="s">
        <v>312</v>
      </c>
      <c r="F2" s="1" t="n">
        <v>0.33</v>
      </c>
      <c r="I2" s="1" t="n">
        <v>0.33</v>
      </c>
    </row>
    <row r="3" customFormat="false" ht="15" hidden="false" customHeight="false" outlineLevel="0" collapsed="false">
      <c r="A3" s="1" t="n">
        <v>2</v>
      </c>
      <c r="B3" s="3" t="s">
        <v>23</v>
      </c>
      <c r="F3" s="1" t="n">
        <v>1</v>
      </c>
      <c r="I3" s="1" t="n">
        <v>1</v>
      </c>
    </row>
    <row r="4" customFormat="false" ht="15" hidden="false" customHeight="false" outlineLevel="0" collapsed="false">
      <c r="A4" s="1" t="n">
        <v>3</v>
      </c>
      <c r="B4" s="3" t="s">
        <v>26</v>
      </c>
      <c r="F4" s="1" t="n">
        <v>1</v>
      </c>
      <c r="I4" s="1" t="n">
        <v>1</v>
      </c>
    </row>
    <row r="5" customFormat="false" ht="15" hidden="false" customHeight="false" outlineLevel="0" collapsed="false">
      <c r="A5" s="1" t="n">
        <v>4</v>
      </c>
      <c r="B5" s="3" t="s">
        <v>30</v>
      </c>
      <c r="F5" s="1" t="n">
        <v>1</v>
      </c>
      <c r="I5" s="1" t="n">
        <v>1</v>
      </c>
    </row>
    <row r="6" customFormat="false" ht="15" hidden="false" customHeight="false" outlineLevel="0" collapsed="false">
      <c r="A6" s="1" t="n">
        <v>5</v>
      </c>
      <c r="B6" s="3" t="s">
        <v>35</v>
      </c>
      <c r="C6" s="1" t="s">
        <v>35</v>
      </c>
      <c r="D6" s="1" t="s">
        <v>34</v>
      </c>
      <c r="E6" s="1" t="s">
        <v>269</v>
      </c>
      <c r="F6" s="1" t="n">
        <v>8</v>
      </c>
      <c r="I6" s="1" t="n">
        <v>8</v>
      </c>
    </row>
    <row r="7" customFormat="false" ht="15" hidden="false" customHeight="false" outlineLevel="0" collapsed="false">
      <c r="A7" s="1" t="n">
        <v>6</v>
      </c>
      <c r="B7" s="3" t="s">
        <v>39</v>
      </c>
      <c r="C7" s="1" t="s">
        <v>39</v>
      </c>
      <c r="D7" s="1" t="s">
        <v>38</v>
      </c>
      <c r="E7" s="1" t="s">
        <v>313</v>
      </c>
      <c r="F7" s="1" t="n">
        <v>6.33</v>
      </c>
      <c r="I7" s="1" t="n">
        <v>6.33</v>
      </c>
    </row>
    <row r="8" customFormat="false" ht="15" hidden="false" customHeight="false" outlineLevel="0" collapsed="false">
      <c r="A8" s="1" t="n">
        <v>7</v>
      </c>
      <c r="B8" s="3" t="s">
        <v>43</v>
      </c>
      <c r="F8" s="1" t="n">
        <v>1</v>
      </c>
      <c r="I8" s="1" t="n">
        <v>1</v>
      </c>
    </row>
    <row r="9" customFormat="false" ht="15" hidden="false" customHeight="false" outlineLevel="0" collapsed="false">
      <c r="A9" s="1" t="n">
        <v>8</v>
      </c>
      <c r="B9" s="3" t="s">
        <v>46</v>
      </c>
      <c r="F9" s="1" t="n">
        <v>1</v>
      </c>
      <c r="I9" s="1" t="n">
        <v>1</v>
      </c>
    </row>
    <row r="10" customFormat="false" ht="15" hidden="false" customHeight="false" outlineLevel="0" collapsed="false">
      <c r="A10" s="1" t="n">
        <v>9</v>
      </c>
      <c r="B10" s="3" t="s">
        <v>49</v>
      </c>
      <c r="C10" s="1" t="s">
        <v>49</v>
      </c>
      <c r="D10" s="1" t="s">
        <v>48</v>
      </c>
      <c r="E10" s="1" t="s">
        <v>209</v>
      </c>
      <c r="F10" s="1" t="n">
        <v>7.67</v>
      </c>
      <c r="G10" s="1" t="n">
        <f aca="false">AVERAGE(F10:F11)</f>
        <v>7.67</v>
      </c>
      <c r="H10" s="1" t="n">
        <v>8</v>
      </c>
      <c r="I10" s="1" t="n">
        <f aca="false">ROUND(MAX(H10,G10),0)</f>
        <v>8</v>
      </c>
    </row>
    <row r="11" customFormat="false" ht="15" hidden="false" customHeight="false" outlineLevel="0" collapsed="false">
      <c r="C11" s="1" t="s">
        <v>49</v>
      </c>
      <c r="D11" s="1" t="s">
        <v>48</v>
      </c>
      <c r="E11" s="1" t="s">
        <v>314</v>
      </c>
      <c r="F11" s="1" t="n">
        <v>7.67</v>
      </c>
    </row>
    <row r="12" customFormat="false" ht="15" hidden="false" customHeight="false" outlineLevel="0" collapsed="false">
      <c r="A12" s="1" t="n">
        <v>10</v>
      </c>
      <c r="B12" s="3" t="s">
        <v>52</v>
      </c>
      <c r="C12" s="1" t="s">
        <v>52</v>
      </c>
      <c r="D12" s="1" t="s">
        <v>51</v>
      </c>
      <c r="E12" s="1" t="s">
        <v>315</v>
      </c>
      <c r="F12" s="1" t="n">
        <v>0.33</v>
      </c>
      <c r="I12" s="1" t="n">
        <v>0.33</v>
      </c>
    </row>
    <row r="13" customFormat="false" ht="15" hidden="false" customHeight="false" outlineLevel="0" collapsed="false">
      <c r="A13" s="1" t="n">
        <v>26</v>
      </c>
      <c r="B13" s="3" t="s">
        <v>55</v>
      </c>
      <c r="F13" s="1" t="n">
        <v>1</v>
      </c>
      <c r="I13" s="1" t="n">
        <v>1</v>
      </c>
    </row>
    <row r="14" customFormat="false" ht="15" hidden="false" customHeight="false" outlineLevel="0" collapsed="false">
      <c r="A14" s="1" t="n">
        <v>11</v>
      </c>
      <c r="B14" s="3" t="s">
        <v>58</v>
      </c>
      <c r="C14" s="1" t="s">
        <v>58</v>
      </c>
      <c r="D14" s="1" t="s">
        <v>57</v>
      </c>
      <c r="E14" s="1" t="s">
        <v>215</v>
      </c>
      <c r="F14" s="1" t="n">
        <v>8.8</v>
      </c>
      <c r="I14" s="1" t="n">
        <v>8.8</v>
      </c>
    </row>
    <row r="15" customFormat="false" ht="15" hidden="false" customHeight="false" outlineLevel="0" collapsed="false">
      <c r="A15" s="1" t="n">
        <v>12</v>
      </c>
      <c r="B15" s="3" t="s">
        <v>61</v>
      </c>
      <c r="F15" s="1" t="n">
        <v>1</v>
      </c>
      <c r="I15" s="1" t="n">
        <v>1</v>
      </c>
    </row>
    <row r="16" customFormat="false" ht="15" hidden="false" customHeight="false" outlineLevel="0" collapsed="false">
      <c r="A16" s="1" t="n">
        <v>13</v>
      </c>
      <c r="B16" s="3" t="s">
        <v>64</v>
      </c>
      <c r="C16" s="1" t="s">
        <v>64</v>
      </c>
      <c r="D16" s="1" t="s">
        <v>63</v>
      </c>
      <c r="E16" s="1" t="s">
        <v>242</v>
      </c>
      <c r="F16" s="1" t="n">
        <v>6.8</v>
      </c>
      <c r="I16" s="1" t="n">
        <v>6.8</v>
      </c>
    </row>
    <row r="17" customFormat="false" ht="15" hidden="false" customHeight="false" outlineLevel="0" collapsed="false">
      <c r="A17" s="1" t="n">
        <v>14</v>
      </c>
      <c r="B17" s="3" t="s">
        <v>67</v>
      </c>
      <c r="F17" s="1" t="n">
        <v>1</v>
      </c>
      <c r="I17" s="1" t="n">
        <v>1</v>
      </c>
    </row>
    <row r="18" customFormat="false" ht="15" hidden="false" customHeight="false" outlineLevel="0" collapsed="false">
      <c r="A18" s="1" t="n">
        <v>15</v>
      </c>
      <c r="B18" s="3" t="s">
        <v>70</v>
      </c>
      <c r="C18" s="1" t="s">
        <v>70</v>
      </c>
      <c r="D18" s="1" t="s">
        <v>69</v>
      </c>
      <c r="E18" s="1" t="s">
        <v>307</v>
      </c>
      <c r="F18" s="1" t="n">
        <v>7.93</v>
      </c>
      <c r="G18" s="1" t="n">
        <f aca="false">AVERAGE(F18:F19)</f>
        <v>6.365</v>
      </c>
      <c r="H18" s="1" t="n">
        <v>5</v>
      </c>
      <c r="I18" s="1" t="n">
        <f aca="false">ROUND(MAX(H18,G18),0)</f>
        <v>6</v>
      </c>
    </row>
    <row r="19" customFormat="false" ht="15" hidden="false" customHeight="false" outlineLevel="0" collapsed="false">
      <c r="C19" s="1" t="s">
        <v>70</v>
      </c>
      <c r="D19" s="1" t="s">
        <v>69</v>
      </c>
      <c r="E19" s="1" t="s">
        <v>218</v>
      </c>
      <c r="F19" s="1" t="n">
        <v>4.8</v>
      </c>
    </row>
    <row r="20" customFormat="false" ht="15" hidden="false" customHeight="false" outlineLevel="0" collapsed="false">
      <c r="A20" s="1" t="n">
        <v>16</v>
      </c>
      <c r="B20" s="3" t="s">
        <v>73</v>
      </c>
      <c r="F20" s="1" t="n">
        <v>1</v>
      </c>
      <c r="I20" s="1" t="n">
        <v>1</v>
      </c>
    </row>
    <row r="21" customFormat="false" ht="15" hidden="false" customHeight="false" outlineLevel="0" collapsed="false">
      <c r="A21" s="1" t="n">
        <v>17</v>
      </c>
      <c r="B21" s="3" t="s">
        <v>76</v>
      </c>
      <c r="C21" s="1" t="s">
        <v>76</v>
      </c>
      <c r="D21" s="1" t="s">
        <v>75</v>
      </c>
      <c r="E21" s="1" t="s">
        <v>316</v>
      </c>
      <c r="F21" s="1" t="n">
        <v>7</v>
      </c>
      <c r="I21" s="1" t="n">
        <v>7</v>
      </c>
    </row>
    <row r="22" customFormat="false" ht="15" hidden="false" customHeight="false" outlineLevel="0" collapsed="false">
      <c r="A22" s="1" t="n">
        <v>18</v>
      </c>
      <c r="B22" s="3" t="s">
        <v>79</v>
      </c>
      <c r="C22" s="1" t="s">
        <v>79</v>
      </c>
      <c r="D22" s="1" t="s">
        <v>78</v>
      </c>
      <c r="E22" s="1" t="s">
        <v>218</v>
      </c>
      <c r="F22" s="1" t="n">
        <v>7.67</v>
      </c>
      <c r="I22" s="1" t="n">
        <v>7.67</v>
      </c>
    </row>
    <row r="23" customFormat="false" ht="15" hidden="false" customHeight="false" outlineLevel="0" collapsed="false">
      <c r="A23" s="1" t="n">
        <v>19</v>
      </c>
      <c r="B23" s="3" t="s">
        <v>84</v>
      </c>
      <c r="F23" s="1" t="n">
        <v>1</v>
      </c>
      <c r="I23" s="1" t="n">
        <v>1</v>
      </c>
    </row>
    <row r="24" customFormat="false" ht="15" hidden="false" customHeight="false" outlineLevel="0" collapsed="false">
      <c r="A24" s="1" t="n">
        <v>20</v>
      </c>
      <c r="B24" s="3" t="s">
        <v>87</v>
      </c>
      <c r="C24" s="1" t="s">
        <v>87</v>
      </c>
      <c r="D24" s="1" t="s">
        <v>86</v>
      </c>
      <c r="E24" s="1" t="s">
        <v>317</v>
      </c>
      <c r="F24" s="1" t="n">
        <v>7</v>
      </c>
      <c r="I24" s="1" t="n">
        <v>7</v>
      </c>
    </row>
    <row r="25" customFormat="false" ht="15" hidden="false" customHeight="false" outlineLevel="0" collapsed="false">
      <c r="A25" s="1" t="n">
        <v>21</v>
      </c>
      <c r="B25" s="3" t="s">
        <v>90</v>
      </c>
      <c r="C25" s="1" t="s">
        <v>90</v>
      </c>
      <c r="D25" s="1" t="s">
        <v>89</v>
      </c>
      <c r="E25" s="1" t="s">
        <v>318</v>
      </c>
      <c r="F25" s="1" t="n">
        <v>8.67</v>
      </c>
      <c r="I25" s="1" t="n">
        <v>8.67</v>
      </c>
    </row>
    <row r="26" customFormat="false" ht="15" hidden="false" customHeight="false" outlineLevel="0" collapsed="false">
      <c r="A26" s="1" t="n">
        <v>22</v>
      </c>
      <c r="B26" s="3" t="s">
        <v>93</v>
      </c>
      <c r="C26" s="1" t="s">
        <v>93</v>
      </c>
      <c r="D26" s="1" t="s">
        <v>92</v>
      </c>
      <c r="E26" s="1" t="s">
        <v>319</v>
      </c>
      <c r="F26" s="1" t="n">
        <v>8.33</v>
      </c>
      <c r="I26" s="1" t="n">
        <v>8.33</v>
      </c>
    </row>
    <row r="27" customFormat="false" ht="15" hidden="false" customHeight="false" outlineLevel="0" collapsed="false">
      <c r="A27" s="1" t="n">
        <v>23</v>
      </c>
      <c r="B27" s="3" t="s">
        <v>96</v>
      </c>
      <c r="C27" s="1" t="s">
        <v>96</v>
      </c>
      <c r="D27" s="1" t="s">
        <v>95</v>
      </c>
      <c r="E27" s="1" t="s">
        <v>320</v>
      </c>
      <c r="F27" s="1" t="n">
        <v>9</v>
      </c>
      <c r="G27" s="1" t="n">
        <f aca="false">AVERAGE(F27:F31)</f>
        <v>8.052</v>
      </c>
      <c r="H27" s="1" t="n">
        <v>8</v>
      </c>
      <c r="I27" s="1" t="n">
        <f aca="false">ROUND(MAX(H27,G27),0)</f>
        <v>8</v>
      </c>
    </row>
    <row r="28" customFormat="false" ht="15" hidden="false" customHeight="false" outlineLevel="0" collapsed="false">
      <c r="C28" s="1" t="s">
        <v>96</v>
      </c>
      <c r="D28" s="1" t="s">
        <v>95</v>
      </c>
      <c r="E28" s="1" t="s">
        <v>321</v>
      </c>
      <c r="F28" s="1" t="n">
        <v>8.67</v>
      </c>
    </row>
    <row r="29" customFormat="false" ht="15" hidden="false" customHeight="false" outlineLevel="0" collapsed="false">
      <c r="C29" s="1" t="s">
        <v>96</v>
      </c>
      <c r="D29" s="1" t="s">
        <v>95</v>
      </c>
      <c r="E29" s="1" t="s">
        <v>322</v>
      </c>
      <c r="F29" s="1" t="n">
        <v>8.13</v>
      </c>
    </row>
    <row r="30" customFormat="false" ht="15" hidden="false" customHeight="false" outlineLevel="0" collapsed="false">
      <c r="C30" s="1" t="s">
        <v>96</v>
      </c>
      <c r="D30" s="1" t="s">
        <v>95</v>
      </c>
      <c r="E30" s="1" t="s">
        <v>323</v>
      </c>
      <c r="F30" s="1" t="n">
        <v>8.13</v>
      </c>
    </row>
    <row r="31" customFormat="false" ht="15" hidden="false" customHeight="false" outlineLevel="0" collapsed="false">
      <c r="C31" s="1" t="s">
        <v>96</v>
      </c>
      <c r="D31" s="1" t="s">
        <v>95</v>
      </c>
      <c r="E31" s="1" t="s">
        <v>215</v>
      </c>
      <c r="F31" s="1" t="n">
        <v>6.33</v>
      </c>
    </row>
    <row r="32" customFormat="false" ht="15" hidden="false" customHeight="false" outlineLevel="0" collapsed="false">
      <c r="A32" s="1" t="n">
        <v>24</v>
      </c>
      <c r="B32" s="3" t="s">
        <v>99</v>
      </c>
      <c r="C32" s="1" t="s">
        <v>99</v>
      </c>
      <c r="D32" s="1" t="s">
        <v>98</v>
      </c>
      <c r="E32" s="1" t="s">
        <v>252</v>
      </c>
      <c r="F32" s="1" t="n">
        <v>9</v>
      </c>
      <c r="I32" s="1" t="n">
        <v>9</v>
      </c>
    </row>
    <row r="33" customFormat="false" ht="15" hidden="false" customHeight="false" outlineLevel="0" collapsed="false">
      <c r="A33" s="1" t="n">
        <v>25</v>
      </c>
      <c r="B33" s="3" t="s">
        <v>102</v>
      </c>
      <c r="F33" s="1" t="n">
        <v>1</v>
      </c>
      <c r="I33" s="1" t="n">
        <v>9</v>
      </c>
    </row>
    <row r="34" customFormat="false" ht="15" hidden="false" customHeight="false" outlineLevel="0" collapsed="false">
      <c r="H34" s="1" t="s">
        <v>2</v>
      </c>
      <c r="I34" s="1" t="n">
        <f aca="false">COUNTIF(I2:I33,"&gt;0")</f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I31" activeCellId="0" sqref="I31"/>
    </sheetView>
  </sheetViews>
  <sheetFormatPr defaultColWidth="9.5390625" defaultRowHeight="12.8" zeroHeight="false" outlineLevelRow="0" outlineLevelCol="0"/>
  <cols>
    <col collapsed="false" customWidth="true" hidden="false" outlineLevel="0" max="3" min="2" style="1" width="19.88"/>
    <col collapsed="false" customWidth="true" hidden="false" outlineLevel="0" max="4" min="4" style="1" width="14.86"/>
    <col collapsed="false" customWidth="true" hidden="false" outlineLevel="0" max="6" min="6" style="1" width="16.84"/>
  </cols>
  <sheetData>
    <row r="1" customFormat="false" ht="15" hidden="false" customHeight="false" outlineLevel="0" collapsed="false">
      <c r="C1" s="1" t="s">
        <v>5</v>
      </c>
      <c r="D1" s="1" t="s">
        <v>4</v>
      </c>
      <c r="E1" s="1" t="s">
        <v>196</v>
      </c>
      <c r="F1" s="1" t="s">
        <v>197</v>
      </c>
      <c r="G1" s="1" t="s">
        <v>130</v>
      </c>
      <c r="H1" s="1" t="s">
        <v>311</v>
      </c>
      <c r="I1" s="1" t="s">
        <v>144</v>
      </c>
    </row>
    <row r="2" customFormat="false" ht="15" hidden="false" customHeight="false" outlineLevel="0" collapsed="false">
      <c r="A2" s="1" t="n">
        <v>1</v>
      </c>
      <c r="B2" s="3" t="s">
        <v>17</v>
      </c>
      <c r="F2" s="1" t="n">
        <v>1</v>
      </c>
      <c r="I2" s="1" t="n">
        <v>1</v>
      </c>
    </row>
    <row r="3" customFormat="false" ht="15" hidden="false" customHeight="false" outlineLevel="0" collapsed="false">
      <c r="A3" s="1" t="n">
        <v>2</v>
      </c>
      <c r="B3" s="3" t="s">
        <v>23</v>
      </c>
      <c r="F3" s="1" t="n">
        <v>1</v>
      </c>
      <c r="I3" s="1" t="n">
        <v>1</v>
      </c>
    </row>
    <row r="4" customFormat="false" ht="15" hidden="false" customHeight="false" outlineLevel="0" collapsed="false">
      <c r="A4" s="1" t="n">
        <v>3</v>
      </c>
      <c r="B4" s="3" t="s">
        <v>26</v>
      </c>
      <c r="F4" s="1" t="n">
        <v>1</v>
      </c>
      <c r="I4" s="1" t="n">
        <v>1</v>
      </c>
    </row>
    <row r="5" customFormat="false" ht="15" hidden="false" customHeight="false" outlineLevel="0" collapsed="false">
      <c r="A5" s="1" t="n">
        <v>4</v>
      </c>
      <c r="B5" s="3" t="s">
        <v>30</v>
      </c>
      <c r="F5" s="1" t="n">
        <v>1</v>
      </c>
      <c r="I5" s="1" t="n">
        <v>1</v>
      </c>
    </row>
    <row r="6" customFormat="false" ht="15" hidden="false" customHeight="false" outlineLevel="0" collapsed="false">
      <c r="A6" s="1" t="n">
        <v>5</v>
      </c>
      <c r="B6" s="3" t="s">
        <v>35</v>
      </c>
      <c r="F6" s="1" t="n">
        <v>1</v>
      </c>
      <c r="I6" s="1" t="n">
        <v>1</v>
      </c>
    </row>
    <row r="7" customFormat="false" ht="15" hidden="false" customHeight="false" outlineLevel="0" collapsed="false">
      <c r="A7" s="1" t="n">
        <v>6</v>
      </c>
      <c r="B7" s="3" t="s">
        <v>39</v>
      </c>
      <c r="C7" s="1" t="s">
        <v>39</v>
      </c>
      <c r="D7" s="1" t="s">
        <v>38</v>
      </c>
      <c r="E7" s="1" t="s">
        <v>324</v>
      </c>
      <c r="F7" s="1" t="n">
        <v>9</v>
      </c>
      <c r="I7" s="1" t="n">
        <v>9</v>
      </c>
    </row>
    <row r="8" customFormat="false" ht="15" hidden="false" customHeight="false" outlineLevel="0" collapsed="false">
      <c r="A8" s="1" t="n">
        <v>7</v>
      </c>
      <c r="B8" s="3" t="s">
        <v>43</v>
      </c>
      <c r="C8" s="1" t="s">
        <v>43</v>
      </c>
      <c r="D8" s="1" t="s">
        <v>42</v>
      </c>
      <c r="E8" s="1" t="s">
        <v>218</v>
      </c>
      <c r="F8" s="1" t="n">
        <v>9</v>
      </c>
      <c r="G8" s="1" t="n">
        <f aca="false">AVERAGE(F8:F9)</f>
        <v>7.5</v>
      </c>
      <c r="H8" s="1" t="n">
        <v>6</v>
      </c>
      <c r="I8" s="1" t="n">
        <f aca="false">ROUND(MAX(H8,G8),0)</f>
        <v>8</v>
      </c>
    </row>
    <row r="9" customFormat="false" ht="15" hidden="false" customHeight="false" outlineLevel="0" collapsed="false">
      <c r="C9" s="1" t="s">
        <v>43</v>
      </c>
      <c r="D9" s="1" t="s">
        <v>42</v>
      </c>
      <c r="E9" s="1" t="s">
        <v>199</v>
      </c>
      <c r="F9" s="1" t="n">
        <v>6</v>
      </c>
    </row>
    <row r="10" customFormat="false" ht="15" hidden="false" customHeight="false" outlineLevel="0" collapsed="false">
      <c r="A10" s="1" t="n">
        <v>8</v>
      </c>
      <c r="B10" s="3" t="s">
        <v>46</v>
      </c>
      <c r="F10" s="1" t="n">
        <v>1</v>
      </c>
      <c r="I10" s="1" t="n">
        <v>1</v>
      </c>
    </row>
    <row r="11" customFormat="false" ht="15" hidden="false" customHeight="false" outlineLevel="0" collapsed="false">
      <c r="A11" s="1" t="n">
        <v>9</v>
      </c>
      <c r="B11" s="3" t="s">
        <v>49</v>
      </c>
      <c r="F11" s="1" t="n">
        <v>1</v>
      </c>
      <c r="I11" s="1" t="n">
        <v>1</v>
      </c>
    </row>
    <row r="12" customFormat="false" ht="15" hidden="false" customHeight="false" outlineLevel="0" collapsed="false">
      <c r="A12" s="1" t="n">
        <v>10</v>
      </c>
      <c r="B12" s="3" t="s">
        <v>52</v>
      </c>
      <c r="F12" s="1" t="n">
        <v>1</v>
      </c>
      <c r="I12" s="1" t="n">
        <v>1</v>
      </c>
    </row>
    <row r="13" customFormat="false" ht="15" hidden="false" customHeight="false" outlineLevel="0" collapsed="false">
      <c r="A13" s="1" t="n">
        <v>26</v>
      </c>
      <c r="B13" s="3" t="s">
        <v>55</v>
      </c>
      <c r="C13" s="1" t="s">
        <v>55</v>
      </c>
      <c r="D13" s="1" t="s">
        <v>54</v>
      </c>
      <c r="E13" s="1" t="s">
        <v>325</v>
      </c>
      <c r="F13" s="1" t="n">
        <v>10</v>
      </c>
      <c r="I13" s="1" t="n">
        <v>10</v>
      </c>
    </row>
    <row r="14" customFormat="false" ht="15" hidden="false" customHeight="false" outlineLevel="0" collapsed="false">
      <c r="A14" s="1" t="n">
        <v>11</v>
      </c>
      <c r="B14" s="3" t="s">
        <v>58</v>
      </c>
      <c r="F14" s="1" t="n">
        <v>1</v>
      </c>
      <c r="I14" s="1" t="n">
        <v>1</v>
      </c>
    </row>
    <row r="15" customFormat="false" ht="15" hidden="false" customHeight="false" outlineLevel="0" collapsed="false">
      <c r="A15" s="1" t="n">
        <v>12</v>
      </c>
      <c r="B15" s="3" t="s">
        <v>61</v>
      </c>
      <c r="F15" s="1" t="n">
        <v>1</v>
      </c>
      <c r="I15" s="1" t="n">
        <v>1</v>
      </c>
    </row>
    <row r="16" customFormat="false" ht="15" hidden="false" customHeight="false" outlineLevel="0" collapsed="false">
      <c r="A16" s="1" t="n">
        <v>13</v>
      </c>
      <c r="B16" s="3" t="s">
        <v>64</v>
      </c>
      <c r="F16" s="1" t="n">
        <v>1</v>
      </c>
      <c r="I16" s="1" t="n">
        <v>1</v>
      </c>
    </row>
    <row r="17" customFormat="false" ht="15" hidden="false" customHeight="false" outlineLevel="0" collapsed="false">
      <c r="A17" s="1" t="n">
        <v>14</v>
      </c>
      <c r="B17" s="3" t="s">
        <v>67</v>
      </c>
      <c r="F17" s="1" t="n">
        <v>1</v>
      </c>
      <c r="I17" s="1" t="n">
        <v>1</v>
      </c>
    </row>
    <row r="18" customFormat="false" ht="15" hidden="false" customHeight="false" outlineLevel="0" collapsed="false">
      <c r="A18" s="1" t="n">
        <v>15</v>
      </c>
      <c r="B18" s="3" t="s">
        <v>70</v>
      </c>
      <c r="C18" s="1" t="s">
        <v>70</v>
      </c>
      <c r="D18" s="1" t="s">
        <v>69</v>
      </c>
      <c r="E18" s="1" t="s">
        <v>326</v>
      </c>
      <c r="F18" s="1" t="n">
        <v>10</v>
      </c>
      <c r="G18" s="1" t="n">
        <f aca="false">AVERAGE(F18:F21)</f>
        <v>7.75</v>
      </c>
      <c r="H18" s="1" t="n">
        <v>9</v>
      </c>
      <c r="I18" s="1" t="n">
        <f aca="false">ROUND(MAX(H18,G18),0)</f>
        <v>9</v>
      </c>
    </row>
    <row r="19" customFormat="false" ht="15" hidden="false" customHeight="false" outlineLevel="0" collapsed="false">
      <c r="C19" s="1" t="s">
        <v>70</v>
      </c>
      <c r="D19" s="1" t="s">
        <v>69</v>
      </c>
      <c r="E19" s="1" t="s">
        <v>215</v>
      </c>
      <c r="F19" s="1" t="n">
        <v>3</v>
      </c>
    </row>
    <row r="20" customFormat="false" ht="15" hidden="false" customHeight="false" outlineLevel="0" collapsed="false">
      <c r="C20" s="1" t="s">
        <v>70</v>
      </c>
      <c r="D20" s="1" t="s">
        <v>69</v>
      </c>
      <c r="E20" s="1" t="s">
        <v>327</v>
      </c>
      <c r="F20" s="1" t="n">
        <v>9</v>
      </c>
    </row>
    <row r="21" customFormat="false" ht="15" hidden="false" customHeight="false" outlineLevel="0" collapsed="false">
      <c r="C21" s="1" t="s">
        <v>70</v>
      </c>
      <c r="D21" s="1" t="s">
        <v>69</v>
      </c>
      <c r="E21" s="1" t="s">
        <v>328</v>
      </c>
      <c r="F21" s="1" t="n">
        <v>9</v>
      </c>
    </row>
    <row r="22" customFormat="false" ht="15" hidden="false" customHeight="false" outlineLevel="0" collapsed="false">
      <c r="A22" s="1" t="n">
        <v>16</v>
      </c>
      <c r="B22" s="3" t="s">
        <v>73</v>
      </c>
      <c r="C22" s="1" t="s">
        <v>73</v>
      </c>
      <c r="D22" s="1" t="s">
        <v>72</v>
      </c>
      <c r="E22" s="1" t="s">
        <v>329</v>
      </c>
      <c r="F22" s="1" t="n">
        <v>10</v>
      </c>
      <c r="I22" s="1" t="n">
        <v>10</v>
      </c>
    </row>
    <row r="23" customFormat="false" ht="15" hidden="false" customHeight="false" outlineLevel="0" collapsed="false">
      <c r="A23" s="1" t="n">
        <v>17</v>
      </c>
      <c r="B23" s="3" t="s">
        <v>76</v>
      </c>
      <c r="F23" s="1" t="n">
        <v>1</v>
      </c>
      <c r="I23" s="1" t="n">
        <v>1</v>
      </c>
    </row>
    <row r="24" customFormat="false" ht="15" hidden="false" customHeight="false" outlineLevel="0" collapsed="false">
      <c r="A24" s="1" t="n">
        <v>18</v>
      </c>
      <c r="B24" s="3" t="s">
        <v>79</v>
      </c>
      <c r="C24" s="1" t="s">
        <v>79</v>
      </c>
      <c r="D24" s="1" t="s">
        <v>78</v>
      </c>
      <c r="E24" s="1" t="s">
        <v>330</v>
      </c>
      <c r="F24" s="1" t="n">
        <v>10</v>
      </c>
      <c r="I24" s="1" t="n">
        <v>10</v>
      </c>
    </row>
    <row r="25" customFormat="false" ht="15" hidden="false" customHeight="false" outlineLevel="0" collapsed="false">
      <c r="A25" s="1" t="n">
        <v>19</v>
      </c>
      <c r="B25" s="3" t="s">
        <v>84</v>
      </c>
      <c r="F25" s="1" t="n">
        <v>1</v>
      </c>
      <c r="I25" s="1" t="n">
        <v>1</v>
      </c>
    </row>
    <row r="26" customFormat="false" ht="15" hidden="false" customHeight="false" outlineLevel="0" collapsed="false">
      <c r="A26" s="1" t="n">
        <v>20</v>
      </c>
      <c r="B26" s="3" t="s">
        <v>87</v>
      </c>
      <c r="F26" s="1" t="n">
        <v>1</v>
      </c>
      <c r="I26" s="1" t="n">
        <v>1</v>
      </c>
    </row>
    <row r="27" customFormat="false" ht="15" hidden="false" customHeight="false" outlineLevel="0" collapsed="false">
      <c r="A27" s="1" t="n">
        <v>21</v>
      </c>
      <c r="B27" s="3" t="s">
        <v>90</v>
      </c>
      <c r="F27" s="1" t="n">
        <v>1</v>
      </c>
      <c r="I27" s="1" t="n">
        <v>1</v>
      </c>
    </row>
    <row r="28" customFormat="false" ht="15" hidden="false" customHeight="false" outlineLevel="0" collapsed="false">
      <c r="A28" s="1" t="n">
        <v>22</v>
      </c>
      <c r="B28" s="3" t="s">
        <v>93</v>
      </c>
      <c r="C28" s="1" t="s">
        <v>93</v>
      </c>
      <c r="D28" s="1" t="s">
        <v>92</v>
      </c>
      <c r="E28" s="1" t="s">
        <v>331</v>
      </c>
      <c r="F28" s="1" t="n">
        <v>9</v>
      </c>
      <c r="I28" s="1" t="n">
        <v>9</v>
      </c>
    </row>
    <row r="29" customFormat="false" ht="15" hidden="false" customHeight="false" outlineLevel="0" collapsed="false">
      <c r="A29" s="1" t="n">
        <v>23</v>
      </c>
      <c r="B29" s="3" t="s">
        <v>96</v>
      </c>
      <c r="C29" s="1" t="s">
        <v>96</v>
      </c>
      <c r="D29" s="1" t="s">
        <v>95</v>
      </c>
      <c r="E29" s="1" t="s">
        <v>200</v>
      </c>
      <c r="F29" s="1" t="n">
        <v>10</v>
      </c>
      <c r="I29" s="1" t="n">
        <v>10</v>
      </c>
    </row>
    <row r="30" customFormat="false" ht="15" hidden="false" customHeight="false" outlineLevel="0" collapsed="false">
      <c r="A30" s="1" t="n">
        <v>24</v>
      </c>
      <c r="B30" s="3" t="s">
        <v>99</v>
      </c>
      <c r="F30" s="1" t="n">
        <v>1</v>
      </c>
      <c r="I30" s="1" t="n">
        <v>1</v>
      </c>
    </row>
    <row r="31" customFormat="false" ht="15" hidden="false" customHeight="false" outlineLevel="0" collapsed="false">
      <c r="A31" s="1" t="n">
        <v>25</v>
      </c>
      <c r="B31" s="3" t="s">
        <v>102</v>
      </c>
      <c r="F31" s="1" t="n">
        <v>1</v>
      </c>
      <c r="I31" s="1" t="n">
        <v>1</v>
      </c>
    </row>
    <row r="32" customFormat="false" ht="15" hidden="false" customHeight="false" outlineLevel="0" collapsed="false">
      <c r="H32" s="1" t="s">
        <v>2</v>
      </c>
      <c r="I32" s="1" t="n">
        <f aca="false">COUNTIF(I2:I31,"&gt;0")</f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2" activeCellId="0" sqref="F2"/>
    </sheetView>
  </sheetViews>
  <sheetFormatPr defaultColWidth="9.5390625" defaultRowHeight="12.8" zeroHeight="false" outlineLevelRow="0" outlineLevelCol="0"/>
  <cols>
    <col collapsed="false" customWidth="true" hidden="false" outlineLevel="0" max="3" min="2" style="1" width="19.88"/>
    <col collapsed="false" customWidth="true" hidden="false" outlineLevel="0" max="5" min="4" style="1" width="23.19"/>
  </cols>
  <sheetData>
    <row r="1" customFormat="false" ht="15" hidden="false" customHeight="false" outlineLevel="0" collapsed="false">
      <c r="C1" s="1" t="s">
        <v>5</v>
      </c>
      <c r="D1" s="1" t="s">
        <v>4</v>
      </c>
      <c r="E1" s="1" t="s">
        <v>196</v>
      </c>
      <c r="F1" s="1" t="s">
        <v>197</v>
      </c>
    </row>
    <row r="2" customFormat="false" ht="15" hidden="false" customHeight="false" outlineLevel="0" collapsed="false">
      <c r="A2" s="1" t="n">
        <v>1</v>
      </c>
      <c r="B2" s="3" t="s">
        <v>17</v>
      </c>
      <c r="C2" s="1" t="s">
        <v>17</v>
      </c>
      <c r="D2" s="1" t="s">
        <v>16</v>
      </c>
      <c r="E2" s="1" t="s">
        <v>332</v>
      </c>
      <c r="F2" s="1" t="n">
        <v>3.5</v>
      </c>
    </row>
    <row r="3" customFormat="false" ht="15" hidden="false" customHeight="false" outlineLevel="0" collapsed="false">
      <c r="A3" s="1" t="n">
        <v>2</v>
      </c>
      <c r="B3" s="3" t="s">
        <v>23</v>
      </c>
      <c r="C3" s="1" t="s">
        <v>23</v>
      </c>
      <c r="D3" s="1" t="s">
        <v>22</v>
      </c>
      <c r="E3" s="1" t="s">
        <v>333</v>
      </c>
      <c r="F3" s="1" t="n">
        <v>3.5</v>
      </c>
    </row>
    <row r="4" customFormat="false" ht="15" hidden="false" customHeight="false" outlineLevel="0" collapsed="false">
      <c r="A4" s="1" t="n">
        <v>3</v>
      </c>
      <c r="B4" s="3" t="s">
        <v>26</v>
      </c>
      <c r="C4" s="1" t="s">
        <v>26</v>
      </c>
      <c r="D4" s="1" t="s">
        <v>25</v>
      </c>
      <c r="E4" s="1" t="s">
        <v>334</v>
      </c>
      <c r="F4" s="1" t="n">
        <v>8.25</v>
      </c>
    </row>
    <row r="5" customFormat="false" ht="15" hidden="false" customHeight="false" outlineLevel="0" collapsed="false">
      <c r="A5" s="1" t="n">
        <v>4</v>
      </c>
      <c r="B5" s="3" t="s">
        <v>30</v>
      </c>
      <c r="C5" s="1" t="s">
        <v>30</v>
      </c>
      <c r="D5" s="1" t="s">
        <v>29</v>
      </c>
      <c r="E5" s="1" t="s">
        <v>335</v>
      </c>
      <c r="F5" s="1" t="n">
        <v>2.25</v>
      </c>
    </row>
    <row r="6" customFormat="false" ht="15" hidden="false" customHeight="false" outlineLevel="0" collapsed="false">
      <c r="A6" s="1" t="n">
        <v>5</v>
      </c>
      <c r="B6" s="3" t="s">
        <v>35</v>
      </c>
      <c r="C6" s="1" t="s">
        <v>35</v>
      </c>
      <c r="D6" s="1" t="s">
        <v>34</v>
      </c>
      <c r="E6" s="1" t="s">
        <v>336</v>
      </c>
      <c r="F6" s="1" t="n">
        <v>2.75</v>
      </c>
    </row>
    <row r="7" customFormat="false" ht="15" hidden="false" customHeight="false" outlineLevel="0" collapsed="false">
      <c r="A7" s="1" t="n">
        <v>6</v>
      </c>
      <c r="B7" s="3" t="s">
        <v>39</v>
      </c>
      <c r="C7" s="1" t="s">
        <v>39</v>
      </c>
      <c r="D7" s="1" t="s">
        <v>38</v>
      </c>
      <c r="E7" s="1" t="s">
        <v>337</v>
      </c>
      <c r="F7" s="1" t="n">
        <v>2</v>
      </c>
    </row>
    <row r="8" customFormat="false" ht="15" hidden="false" customHeight="false" outlineLevel="0" collapsed="false">
      <c r="A8" s="1" t="n">
        <v>7</v>
      </c>
      <c r="B8" s="3" t="s">
        <v>43</v>
      </c>
      <c r="C8" s="1" t="s">
        <v>43</v>
      </c>
      <c r="D8" s="1" t="s">
        <v>42</v>
      </c>
      <c r="E8" s="1" t="s">
        <v>338</v>
      </c>
      <c r="F8" s="1" t="n">
        <v>8.5</v>
      </c>
    </row>
    <row r="9" customFormat="false" ht="15" hidden="false" customHeight="false" outlineLevel="0" collapsed="false">
      <c r="A9" s="1" t="n">
        <v>8</v>
      </c>
      <c r="B9" s="3" t="s">
        <v>46</v>
      </c>
      <c r="C9" s="1" t="s">
        <v>46</v>
      </c>
      <c r="D9" s="1" t="s">
        <v>45</v>
      </c>
      <c r="E9" s="1" t="s">
        <v>339</v>
      </c>
      <c r="F9" s="1" t="n">
        <v>6.75</v>
      </c>
    </row>
    <row r="10" customFormat="false" ht="15" hidden="false" customHeight="false" outlineLevel="0" collapsed="false">
      <c r="A10" s="1" t="n">
        <v>9</v>
      </c>
      <c r="B10" s="3" t="s">
        <v>49</v>
      </c>
      <c r="C10" s="1" t="s">
        <v>49</v>
      </c>
      <c r="D10" s="1" t="s">
        <v>48</v>
      </c>
      <c r="E10" s="1" t="s">
        <v>340</v>
      </c>
      <c r="F10" s="1" t="n">
        <v>9</v>
      </c>
    </row>
    <row r="11" customFormat="false" ht="15" hidden="false" customHeight="false" outlineLevel="0" collapsed="false">
      <c r="A11" s="1" t="n">
        <v>10</v>
      </c>
      <c r="B11" s="3" t="s">
        <v>52</v>
      </c>
      <c r="C11" s="1" t="s">
        <v>52</v>
      </c>
      <c r="D11" s="1" t="s">
        <v>51</v>
      </c>
      <c r="E11" s="1" t="s">
        <v>341</v>
      </c>
      <c r="F11" s="1" t="n">
        <v>3.25</v>
      </c>
    </row>
    <row r="12" customFormat="false" ht="15" hidden="false" customHeight="false" outlineLevel="0" collapsed="false">
      <c r="A12" s="1" t="n">
        <v>26</v>
      </c>
      <c r="B12" s="3" t="s">
        <v>55</v>
      </c>
      <c r="C12" s="1" t="s">
        <v>55</v>
      </c>
      <c r="D12" s="1" t="s">
        <v>54</v>
      </c>
      <c r="E12" s="1" t="s">
        <v>342</v>
      </c>
      <c r="F12" s="1" t="n">
        <v>7.5</v>
      </c>
    </row>
    <row r="13" customFormat="false" ht="15" hidden="false" customHeight="false" outlineLevel="0" collapsed="false">
      <c r="A13" s="1" t="n">
        <v>11</v>
      </c>
      <c r="B13" s="3" t="s">
        <v>58</v>
      </c>
      <c r="C13" s="1" t="s">
        <v>58</v>
      </c>
      <c r="D13" s="1" t="s">
        <v>57</v>
      </c>
      <c r="E13" s="1" t="s">
        <v>343</v>
      </c>
      <c r="F13" s="1" t="n">
        <v>8.75</v>
      </c>
    </row>
    <row r="14" customFormat="false" ht="15" hidden="false" customHeight="false" outlineLevel="0" collapsed="false">
      <c r="A14" s="1" t="n">
        <v>12</v>
      </c>
      <c r="B14" s="3" t="s">
        <v>61</v>
      </c>
      <c r="C14" s="1" t="s">
        <v>61</v>
      </c>
      <c r="D14" s="1" t="s">
        <v>60</v>
      </c>
      <c r="E14" s="1" t="s">
        <v>344</v>
      </c>
      <c r="F14" s="1" t="n">
        <v>4.5</v>
      </c>
    </row>
    <row r="15" customFormat="false" ht="15" hidden="false" customHeight="false" outlineLevel="0" collapsed="false">
      <c r="A15" s="1" t="n">
        <v>13</v>
      </c>
      <c r="B15" s="3" t="s">
        <v>64</v>
      </c>
      <c r="C15" s="1" t="s">
        <v>64</v>
      </c>
      <c r="D15" s="1" t="s">
        <v>63</v>
      </c>
      <c r="E15" s="1" t="s">
        <v>345</v>
      </c>
      <c r="F15" s="1" t="n">
        <v>6</v>
      </c>
    </row>
    <row r="16" customFormat="false" ht="15" hidden="false" customHeight="false" outlineLevel="0" collapsed="false">
      <c r="A16" s="1" t="n">
        <v>14</v>
      </c>
      <c r="B16" s="3" t="s">
        <v>67</v>
      </c>
      <c r="C16" s="1" t="s">
        <v>67</v>
      </c>
      <c r="D16" s="1" t="s">
        <v>66</v>
      </c>
      <c r="E16" s="1" t="s">
        <v>346</v>
      </c>
      <c r="F16" s="1" t="n">
        <v>3.25</v>
      </c>
    </row>
    <row r="17" customFormat="false" ht="15" hidden="false" customHeight="false" outlineLevel="0" collapsed="false">
      <c r="A17" s="1" t="n">
        <v>15</v>
      </c>
      <c r="B17" s="3" t="s">
        <v>70</v>
      </c>
      <c r="C17" s="1" t="s">
        <v>70</v>
      </c>
      <c r="D17" s="1" t="s">
        <v>69</v>
      </c>
      <c r="E17" s="1" t="s">
        <v>347</v>
      </c>
      <c r="F17" s="1" t="n">
        <v>5.25</v>
      </c>
    </row>
    <row r="18" customFormat="false" ht="15" hidden="false" customHeight="false" outlineLevel="0" collapsed="false">
      <c r="A18" s="1" t="n">
        <v>16</v>
      </c>
      <c r="B18" s="3" t="s">
        <v>73</v>
      </c>
      <c r="C18" s="1" t="s">
        <v>73</v>
      </c>
      <c r="D18" s="1" t="s">
        <v>72</v>
      </c>
      <c r="E18" s="1" t="s">
        <v>338</v>
      </c>
      <c r="F18" s="1" t="n">
        <v>8</v>
      </c>
    </row>
    <row r="19" customFormat="false" ht="15" hidden="false" customHeight="false" outlineLevel="0" collapsed="false">
      <c r="A19" s="1" t="n">
        <v>17</v>
      </c>
      <c r="B19" s="3" t="s">
        <v>76</v>
      </c>
      <c r="C19" s="1" t="s">
        <v>76</v>
      </c>
      <c r="D19" s="1" t="s">
        <v>75</v>
      </c>
      <c r="E19" s="1" t="s">
        <v>348</v>
      </c>
      <c r="F19" s="1" t="n">
        <v>7</v>
      </c>
    </row>
    <row r="20" customFormat="false" ht="15" hidden="false" customHeight="false" outlineLevel="0" collapsed="false">
      <c r="A20" s="1" t="n">
        <v>18</v>
      </c>
      <c r="B20" s="3" t="s">
        <v>79</v>
      </c>
      <c r="C20" s="1" t="s">
        <v>79</v>
      </c>
      <c r="D20" s="1" t="s">
        <v>78</v>
      </c>
      <c r="E20" s="1" t="s">
        <v>338</v>
      </c>
      <c r="F20" s="1" t="n">
        <v>5.5</v>
      </c>
    </row>
    <row r="21" customFormat="false" ht="15" hidden="false" customHeight="false" outlineLevel="0" collapsed="false">
      <c r="A21" s="1" t="n">
        <v>19</v>
      </c>
      <c r="B21" s="3" t="s">
        <v>84</v>
      </c>
      <c r="C21" s="1" t="s">
        <v>84</v>
      </c>
      <c r="D21" s="1" t="s">
        <v>83</v>
      </c>
      <c r="E21" s="1" t="s">
        <v>349</v>
      </c>
      <c r="F21" s="1" t="n">
        <v>2.5</v>
      </c>
    </row>
    <row r="22" customFormat="false" ht="15" hidden="false" customHeight="false" outlineLevel="0" collapsed="false">
      <c r="A22" s="1" t="n">
        <v>20</v>
      </c>
      <c r="B22" s="3" t="s">
        <v>87</v>
      </c>
      <c r="C22" s="1" t="s">
        <v>87</v>
      </c>
      <c r="D22" s="1" t="s">
        <v>86</v>
      </c>
      <c r="E22" s="1" t="s">
        <v>350</v>
      </c>
      <c r="F22" s="1" t="n">
        <v>8.25</v>
      </c>
    </row>
    <row r="23" customFormat="false" ht="15" hidden="false" customHeight="false" outlineLevel="0" collapsed="false">
      <c r="A23" s="1" t="n">
        <v>21</v>
      </c>
      <c r="B23" s="3" t="s">
        <v>90</v>
      </c>
      <c r="C23" s="1" t="s">
        <v>90</v>
      </c>
      <c r="D23" s="1" t="s">
        <v>89</v>
      </c>
      <c r="E23" s="1" t="s">
        <v>351</v>
      </c>
      <c r="F23" s="1" t="n">
        <v>7.75</v>
      </c>
    </row>
    <row r="24" customFormat="false" ht="15" hidden="false" customHeight="false" outlineLevel="0" collapsed="false">
      <c r="A24" s="1" t="n">
        <v>22</v>
      </c>
      <c r="B24" s="3" t="s">
        <v>93</v>
      </c>
      <c r="C24" s="1" t="s">
        <v>93</v>
      </c>
      <c r="D24" s="1" t="s">
        <v>92</v>
      </c>
      <c r="E24" s="1" t="s">
        <v>338</v>
      </c>
      <c r="F24" s="1" t="n">
        <v>8.75</v>
      </c>
    </row>
    <row r="25" customFormat="false" ht="15" hidden="false" customHeight="false" outlineLevel="0" collapsed="false">
      <c r="A25" s="1" t="n">
        <v>23</v>
      </c>
      <c r="B25" s="3" t="s">
        <v>96</v>
      </c>
      <c r="C25" s="1" t="s">
        <v>96</v>
      </c>
      <c r="D25" s="1" t="s">
        <v>95</v>
      </c>
      <c r="E25" s="1" t="s">
        <v>338</v>
      </c>
      <c r="F25" s="1" t="n">
        <v>9.5</v>
      </c>
    </row>
    <row r="26" customFormat="false" ht="15" hidden="false" customHeight="false" outlineLevel="0" collapsed="false">
      <c r="A26" s="1" t="n">
        <v>24</v>
      </c>
      <c r="B26" s="3" t="s">
        <v>99</v>
      </c>
      <c r="C26" s="1" t="s">
        <v>99</v>
      </c>
      <c r="D26" s="1" t="s">
        <v>98</v>
      </c>
      <c r="E26" s="1" t="s">
        <v>352</v>
      </c>
      <c r="F26" s="1" t="n">
        <v>9</v>
      </c>
    </row>
    <row r="27" customFormat="false" ht="15" hidden="false" customHeight="false" outlineLevel="0" collapsed="false">
      <c r="A27" s="1" t="n">
        <v>25</v>
      </c>
      <c r="B27" s="3" t="s">
        <v>102</v>
      </c>
      <c r="F27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4" activeCellId="0" sqref="C4"/>
    </sheetView>
  </sheetViews>
  <sheetFormatPr defaultColWidth="10.58203125" defaultRowHeight="12.8" zeroHeight="false" outlineLevelRow="0" outlineLevelCol="0"/>
  <sheetData>
    <row r="1" customFormat="false" ht="17.9" hidden="false" customHeight="true" outlineLevel="0" collapsed="false">
      <c r="A1" s="2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2402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2025-05-05T16:27:59Z</dcterms:created>
  <dc:creator/>
  <dc:description/>
  <dc:language>es-AR</dc:language>
  <cp:lastModifiedBy/>
  <dcterms:modified xsi:type="dcterms:W3CDTF">2026-02-27T18:43:12Z</dcterms:modified>
  <cp:revision>111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