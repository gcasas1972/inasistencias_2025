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1-RL-teoria" sheetId="3" state="visible" r:id="rId5"/>
    <sheet name="2-RL-practica" sheetId="4" state="visible" r:id="rId6"/>
    <sheet name="2-Recup" sheetId="5" state="visible" r:id="rId7"/>
    <sheet name="positivos" sheetId="6" state="visible" r:id="rId8"/>
    <sheet name="3-RL paralelo" sheetId="7" state="visible" r:id="rId9"/>
    <sheet name="4-RC paralelo" sheetId="8" state="visible" r:id="rId10"/>
    <sheet name="Evaluacion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<sst xmlns="http://schemas.openxmlformats.org/spreadsheetml/2006/main" count="1751" uniqueCount="364">
  <si>
    <t xml:space="preserve">Teocra de circuitos</t>
  </si>
  <si>
    <t xml:space="preserve">total</t>
  </si>
  <si>
    <t xml:space="preserve">m</t>
  </si>
  <si>
    <t xml:space="preserve">x</t>
  </si>
  <si>
    <t xml:space="preserve">nro</t>
  </si>
  <si>
    <t xml:space="preserve">Apellido(s)</t>
  </si>
  <si>
    <t xml:space="preserve">Nombre</t>
  </si>
  <si>
    <t xml:space="preserve">Dirección de correo</t>
  </si>
  <si>
    <t xml:space="preserve">obs</t>
  </si>
  <si>
    <t xml:space="preserve">presentes</t>
  </si>
  <si>
    <t xml:space="preserve">nota</t>
  </si>
  <si>
    <t xml:space="preserve">media</t>
  </si>
  <si>
    <t xml:space="preserve">tarde</t>
  </si>
  <si>
    <t xml:space="preserve">Agasi</t>
  </si>
  <si>
    <t xml:space="preserve">Lautaro Agustin</t>
  </si>
  <si>
    <t xml:space="preserve">lautyagasi808@gmail.com</t>
  </si>
  <si>
    <t xml:space="preserve">P</t>
  </si>
  <si>
    <t xml:space="preserve">A</t>
  </si>
  <si>
    <t xml:space="preserve">se retiro</t>
  </si>
  <si>
    <t xml:space="preserve">ANGELES</t>
  </si>
  <si>
    <t xml:space="preserve">Thaiel Omar</t>
  </si>
  <si>
    <t xml:space="preserve">thaielomar44@gmail.com</t>
  </si>
  <si>
    <t xml:space="preserve">BARRERA</t>
  </si>
  <si>
    <t xml:space="preserve">Franco Tomas</t>
  </si>
  <si>
    <t xml:space="preserve">48373431@gmail.com</t>
  </si>
  <si>
    <t xml:space="preserve">tocando</t>
  </si>
  <si>
    <t xml:space="preserve">BATTAGLIA</t>
  </si>
  <si>
    <t xml:space="preserve">Julian Gabriel</t>
  </si>
  <si>
    <t xml:space="preserve">48702442@gmail.com</t>
  </si>
  <si>
    <t xml:space="preserve">Bernal</t>
  </si>
  <si>
    <t xml:space="preserve">Rodrigo Jesus</t>
  </si>
  <si>
    <t xml:space="preserve">rodribernalel10@gmail.com</t>
  </si>
  <si>
    <t xml:space="preserve">Caballero</t>
  </si>
  <si>
    <t xml:space="preserve">Yoel Santiago</t>
  </si>
  <si>
    <t xml:space="preserve">yoecaballero@hotmail.com</t>
  </si>
  <si>
    <t xml:space="preserve">CANCLINI</t>
  </si>
  <si>
    <t xml:space="preserve">Hector Hernan</t>
  </si>
  <si>
    <t xml:space="preserve">canclinihector@gmail.com</t>
  </si>
  <si>
    <t xml:space="preserve">esta en precep</t>
  </si>
  <si>
    <t xml:space="preserve">Celestino</t>
  </si>
  <si>
    <t xml:space="preserve">Martin Ezequiel</t>
  </si>
  <si>
    <t xml:space="preserve">martin.ezequiel.celestino@gmail.com</t>
  </si>
  <si>
    <t xml:space="preserve">CORNEJO</t>
  </si>
  <si>
    <t xml:space="preserve">Benjamin Matias</t>
  </si>
  <si>
    <t xml:space="preserve">benjamatias007@gmail.com</t>
  </si>
  <si>
    <t xml:space="preserve">DEL MASTRO</t>
  </si>
  <si>
    <t xml:space="preserve">Lucio</t>
  </si>
  <si>
    <t xml:space="preserve">47514980@gmail.com</t>
  </si>
  <si>
    <t xml:space="preserve">DIAZ</t>
  </si>
  <si>
    <t xml:space="preserve">Tobias Nicolas</t>
  </si>
  <si>
    <t xml:space="preserve">tobiasdiaz2008@gmail.com</t>
  </si>
  <si>
    <t xml:space="preserve">FERNANDEZ</t>
  </si>
  <si>
    <t xml:space="preserve">Valentino Eduardo Javier</t>
  </si>
  <si>
    <t xml:space="preserve">valentinoel12@gmail.com</t>
  </si>
  <si>
    <t xml:space="preserve">FERRARI RUBINI</t>
  </si>
  <si>
    <t xml:space="preserve">Ariadna Uma</t>
  </si>
  <si>
    <t xml:space="preserve">48241663@gmail.com</t>
  </si>
  <si>
    <t xml:space="preserve">enfermedad</t>
  </si>
  <si>
    <t xml:space="preserve">GIRALDES MIRAVAL</t>
  </si>
  <si>
    <t xml:space="preserve">German Francisco</t>
  </si>
  <si>
    <t xml:space="preserve">47866914@gmail.com</t>
  </si>
  <si>
    <t xml:space="preserve">GONZALEZ</t>
  </si>
  <si>
    <t xml:space="preserve">Julian uziel</t>
  </si>
  <si>
    <t xml:space="preserve">48847759@gmail.com</t>
  </si>
  <si>
    <t xml:space="preserve">GUERRA</t>
  </si>
  <si>
    <t xml:space="preserve">VALENTIN</t>
  </si>
  <si>
    <t xml:space="preserve">valengamer07@outlook.com</t>
  </si>
  <si>
    <t xml:space="preserve">p</t>
  </si>
  <si>
    <t xml:space="preserve">HERRERA</t>
  </si>
  <si>
    <t xml:space="preserve">Joaquín</t>
  </si>
  <si>
    <t xml:space="preserve">joaquinsimonherrera@gmail.com</t>
  </si>
  <si>
    <t xml:space="preserve">Muñoz</t>
  </si>
  <si>
    <t xml:space="preserve">Lucas Sebastian</t>
  </si>
  <si>
    <t xml:space="preserve">47171973@gmail.com</t>
  </si>
  <si>
    <t xml:space="preserve">Peter</t>
  </si>
  <si>
    <t xml:space="preserve">Thomas Adrián</t>
  </si>
  <si>
    <t xml:space="preserve">thominahi@gmail.com</t>
  </si>
  <si>
    <t xml:space="preserve">Rivero Montesino</t>
  </si>
  <si>
    <t xml:space="preserve">Carlos Miguel</t>
  </si>
  <si>
    <t xml:space="preserve">carlomontes06@gmail.com</t>
  </si>
  <si>
    <t xml:space="preserve">Se retiro</t>
  </si>
  <si>
    <t xml:space="preserve">Rojas</t>
  </si>
  <si>
    <t xml:space="preserve">Ignacio</t>
  </si>
  <si>
    <t xml:space="preserve">nachoenzorojas@gmail.com</t>
  </si>
  <si>
    <t xml:space="preserve">SALINA</t>
  </si>
  <si>
    <t xml:space="preserve">Franco Emanuel</t>
  </si>
  <si>
    <t xml:space="preserve">francopuma2000@gmail.com</t>
  </si>
  <si>
    <t xml:space="preserve">SOSA ARCE</t>
  </si>
  <si>
    <t xml:space="preserve">Maia Zoel</t>
  </si>
  <si>
    <t xml:space="preserve">48110972@gmail.com</t>
  </si>
  <si>
    <t xml:space="preserve">TRINIDAD SANABRIA</t>
  </si>
  <si>
    <t xml:space="preserve">Carlos Leonel</t>
  </si>
  <si>
    <t xml:space="preserve">48183416@gmail.com</t>
  </si>
  <si>
    <t xml:space="preserve">enfermo</t>
  </si>
  <si>
    <t xml:space="preserve">O</t>
  </si>
  <si>
    <t xml:space="preserve">VEGA</t>
  </si>
  <si>
    <t xml:space="preserve">Santiago Osmar</t>
  </si>
  <si>
    <t xml:space="preserve">megustaelpene@gmail.com</t>
  </si>
  <si>
    <t xml:space="preserve">Velásquez</t>
  </si>
  <si>
    <t xml:space="preserve">Luciano Emanuel</t>
  </si>
  <si>
    <t xml:space="preserve">lucianovel31@gmail.com</t>
  </si>
  <si>
    <t xml:space="preserve">1er Cua</t>
  </si>
  <si>
    <t xml:space="preserve">2do Cua</t>
  </si>
  <si>
    <t xml:space="preserve">1-RL teoria</t>
  </si>
  <si>
    <t xml:space="preserve">Recup</t>
  </si>
  <si>
    <t xml:space="preserve">2-RL ejer</t>
  </si>
  <si>
    <t xml:space="preserve">positivos</t>
  </si>
  <si>
    <t xml:space="preserve">2+positivos</t>
  </si>
  <si>
    <t xml:space="preserve">promedio</t>
  </si>
  <si>
    <t xml:space="preserve">valoracion</t>
  </si>
  <si>
    <t xml:space="preserve">3-Rl paralelo</t>
  </si>
  <si>
    <t xml:space="preserve">4-Rc paralelo</t>
  </si>
  <si>
    <t xml:space="preserve">Evaluacion</t>
  </si>
  <si>
    <t xml:space="preserve">Asistencia</t>
  </si>
  <si>
    <t xml:space="preserve">Carpeta</t>
  </si>
  <si>
    <t xml:space="preserve">Grupo</t>
  </si>
  <si>
    <t xml:space="preserve">1-calculo l</t>
  </si>
  <si>
    <t xml:space="preserve">2- cto C</t>
  </si>
  <si>
    <t xml:space="preserve">asistencia</t>
  </si>
  <si>
    <t xml:space="preserve">asis+ pos</t>
  </si>
  <si>
    <t xml:space="preserve">final</t>
  </si>
  <si>
    <t xml:space="preserve">Vuelo</t>
  </si>
  <si>
    <t xml:space="preserve">no alcanzo</t>
  </si>
  <si>
    <t xml:space="preserve">navegacion</t>
  </si>
  <si>
    <t xml:space="preserve">Recuperacion agosto</t>
  </si>
  <si>
    <t xml:space="preserve">INHABHILITADO PARA RENDIR</t>
  </si>
  <si>
    <t xml:space="preserve">motor</t>
  </si>
  <si>
    <t xml:space="preserve">no lo intento</t>
  </si>
  <si>
    <t xml:space="preserve">Finalizado</t>
  </si>
  <si>
    <t xml:space="preserve">Tiempo requerido</t>
  </si>
  <si>
    <t xml:space="preserve">Calificación/10,00</t>
  </si>
  <si>
    <t xml:space="preserve">segundo</t>
  </si>
  <si>
    <t xml:space="preserve">3 de abril de 2025  17:52</t>
  </si>
  <si>
    <t xml:space="preserve">8 minutos 59 segundos</t>
  </si>
  <si>
    <t xml:space="preserve">3 de abril de 2025  22:06</t>
  </si>
  <si>
    <t xml:space="preserve">6 minutos 49 segundos</t>
  </si>
  <si>
    <t xml:space="preserve">3 de abril de 2025  21:57</t>
  </si>
  <si>
    <t xml:space="preserve">10 minutos 5 segundos</t>
  </si>
  <si>
    <t xml:space="preserve">4 de abril de 2025  20:48</t>
  </si>
  <si>
    <t xml:space="preserve">4 minutos 25 segundos</t>
  </si>
  <si>
    <t xml:space="preserve">4 de abril de 2025  20:42</t>
  </si>
  <si>
    <t xml:space="preserve">3 minutos 18 segundos</t>
  </si>
  <si>
    <t xml:space="preserve">4 de abril de 2025  20:08</t>
  </si>
  <si>
    <t xml:space="preserve">5 minutos 27 segundos</t>
  </si>
  <si>
    <t xml:space="preserve">4 de abril de 2025  19:51</t>
  </si>
  <si>
    <t xml:space="preserve">9 minutos 9 segundos</t>
  </si>
  <si>
    <t xml:space="preserve">4 de abril de 2025  11:29</t>
  </si>
  <si>
    <t xml:space="preserve">10 minutos</t>
  </si>
  <si>
    <t xml:space="preserve">4 de abril de 2025  11:39</t>
  </si>
  <si>
    <t xml:space="preserve">4 de abril de 2025  19:59</t>
  </si>
  <si>
    <t xml:space="preserve">7 minutos 44 segundos</t>
  </si>
  <si>
    <t xml:space="preserve">4 de abril de 2025  20:11</t>
  </si>
  <si>
    <t xml:space="preserve">3 minutos 57 segundos</t>
  </si>
  <si>
    <t xml:space="preserve">6 minutos 42 segundos</t>
  </si>
  <si>
    <t xml:space="preserve">4 de abril de 2025  19:58</t>
  </si>
  <si>
    <t xml:space="preserve">5 minutos 37 segundos</t>
  </si>
  <si>
    <t xml:space="preserve">4 de abril de 2025  20:28</t>
  </si>
  <si>
    <t xml:space="preserve">3 de abril de 2025  17:31</t>
  </si>
  <si>
    <t xml:space="preserve">7 minutos 24 segundos</t>
  </si>
  <si>
    <t xml:space="preserve">3 de abril de 2025  17:38</t>
  </si>
  <si>
    <t xml:space="preserve">5 minutos 20 segundos</t>
  </si>
  <si>
    <t xml:space="preserve">4 de abril de 2025  20:09</t>
  </si>
  <si>
    <t xml:space="preserve">7 minutos 19 segundos</t>
  </si>
  <si>
    <t xml:space="preserve">4 de abril de 2025  20:15</t>
  </si>
  <si>
    <t xml:space="preserve">5 minutos 13 segundos</t>
  </si>
  <si>
    <t xml:space="preserve">4 de abril de 2025  20:24</t>
  </si>
  <si>
    <t xml:space="preserve">6 minutos 39 segundos</t>
  </si>
  <si>
    <t xml:space="preserve">4 de abril de 2025  20:29</t>
  </si>
  <si>
    <t xml:space="preserve">4 minutos 30 segundos</t>
  </si>
  <si>
    <t xml:space="preserve">4 de abril de 2025  20:35</t>
  </si>
  <si>
    <t xml:space="preserve">4 minutos 24 segundos</t>
  </si>
  <si>
    <t xml:space="preserve">4 de abril de 2025  19:54</t>
  </si>
  <si>
    <t xml:space="preserve">4 de abril de 2025  20:00</t>
  </si>
  <si>
    <t xml:space="preserve">5 minutos 21 segundos</t>
  </si>
  <si>
    <t xml:space="preserve">4 de abril de 2025  19:57</t>
  </si>
  <si>
    <t xml:space="preserve">2 minutos 43 segundos</t>
  </si>
  <si>
    <t xml:space="preserve">6 minutos 48 segundos</t>
  </si>
  <si>
    <t xml:space="preserve">4 de abril de 2025  21:02</t>
  </si>
  <si>
    <t xml:space="preserve">5 minutos 25 segundos</t>
  </si>
  <si>
    <t xml:space="preserve">4 de abril de 2025  11:20</t>
  </si>
  <si>
    <t xml:space="preserve">3 minutos 15 segundos</t>
  </si>
  <si>
    <t xml:space="preserve">4 de abril de 2025  11:09</t>
  </si>
  <si>
    <t xml:space="preserve">5 minutos 6 segundos</t>
  </si>
  <si>
    <t xml:space="preserve">4 de abril de 2025  11:17</t>
  </si>
  <si>
    <t xml:space="preserve">4 de abril de 2025  10:59</t>
  </si>
  <si>
    <t xml:space="preserve">5 minutos 40 segundos</t>
  </si>
  <si>
    <t xml:space="preserve">4 de abril de 2025  11:03</t>
  </si>
  <si>
    <t xml:space="preserve">3 minutos 48 segundos</t>
  </si>
  <si>
    <t xml:space="preserve">4 de abril de 2025  20:16</t>
  </si>
  <si>
    <t xml:space="preserve">4 minutos 21 segundos</t>
  </si>
  <si>
    <t xml:space="preserve">4 de abril de 2025  19:42</t>
  </si>
  <si>
    <t xml:space="preserve">7 minutos 30 segundos</t>
  </si>
  <si>
    <t xml:space="preserve">4 de abril de 2025  20:20</t>
  </si>
  <si>
    <t xml:space="preserve">4 minutos 18 segundos</t>
  </si>
  <si>
    <t xml:space="preserve">4 de abril de 2025  20:14</t>
  </si>
  <si>
    <t xml:space="preserve">7 minutos 16 segundos</t>
  </si>
  <si>
    <t xml:space="preserve">4 de abril de 2025  20:31</t>
  </si>
  <si>
    <t xml:space="preserve">7 minutos 1 segundos</t>
  </si>
  <si>
    <t xml:space="preserve">7 minutos 48 segundos</t>
  </si>
  <si>
    <t xml:space="preserve">4 de abril de 2025  20:22</t>
  </si>
  <si>
    <t xml:space="preserve">3 de abril de 2025  17:58</t>
  </si>
  <si>
    <t xml:space="preserve">5 minutos 8 segundos</t>
  </si>
  <si>
    <t xml:space="preserve">2 de abril de 2025  20:18</t>
  </si>
  <si>
    <t xml:space="preserve">2 de abril de 2025  20:05</t>
  </si>
  <si>
    <t xml:space="preserve">5 minutos 53 segundos</t>
  </si>
  <si>
    <t xml:space="preserve">2 de abril de 2025  20:10</t>
  </si>
  <si>
    <t xml:space="preserve">4 minutos 29 segundos</t>
  </si>
  <si>
    <t xml:space="preserve">2 de abril de 2025  19:56</t>
  </si>
  <si>
    <t xml:space="preserve">9 minutos 59 segundos</t>
  </si>
  <si>
    <t xml:space="preserve">2 de abril de 2025  18:44</t>
  </si>
  <si>
    <t xml:space="preserve">9 minutos 54 segundos</t>
  </si>
  <si>
    <t xml:space="preserve">3 de abril de 2025  10:49</t>
  </si>
  <si>
    <t xml:space="preserve">3 de abril de 2025  10:06</t>
  </si>
  <si>
    <t xml:space="preserve">10 minutos 1 segundos</t>
  </si>
  <si>
    <t xml:space="preserve">3 de abril de 2025  20:12</t>
  </si>
  <si>
    <t xml:space="preserve">5 minutos 16 segundos</t>
  </si>
  <si>
    <t xml:space="preserve">2 de abril de 2025  19:39</t>
  </si>
  <si>
    <t xml:space="preserve">4 de abril de 2025  19:32</t>
  </si>
  <si>
    <t xml:space="preserve">8 minutos 9 segundos</t>
  </si>
  <si>
    <t xml:space="preserve">4 de abril de 2025  20:57</t>
  </si>
  <si>
    <t xml:space="preserve">6 minutos 20 segundos</t>
  </si>
  <si>
    <t xml:space="preserve">4 de abril de 2025  20:50</t>
  </si>
  <si>
    <t xml:space="preserve">1 hora 15 minutos</t>
  </si>
  <si>
    <t xml:space="preserve">31 de marzo de 2025  22:49</t>
  </si>
  <si>
    <t xml:space="preserve">7 horas 31 minutos</t>
  </si>
  <si>
    <t xml:space="preserve">4 de abril de 2025  20:33</t>
  </si>
  <si>
    <t xml:space="preserve">50 minutos 4 segundos</t>
  </si>
  <si>
    <t xml:space="preserve">31 de marzo de 2025  15:37</t>
  </si>
  <si>
    <t xml:space="preserve">12 minutos 26 segundos</t>
  </si>
  <si>
    <t xml:space="preserve">4 de abril de 2025  20:58</t>
  </si>
  <si>
    <t xml:space="preserve">1 hora 14 minutos</t>
  </si>
  <si>
    <t xml:space="preserve">4 de abril de 2025  20:39</t>
  </si>
  <si>
    <t xml:space="preserve">37 minutos 12 segundos</t>
  </si>
  <si>
    <t xml:space="preserve">4 de abril de 2025  20:51</t>
  </si>
  <si>
    <t xml:space="preserve">11 minutos 48 segundos</t>
  </si>
  <si>
    <t xml:space="preserve">4 de abril de 2025  22:33</t>
  </si>
  <si>
    <t xml:space="preserve">18 minutos 30 segundos</t>
  </si>
  <si>
    <t xml:space="preserve">1 de abril de 2025  08:58</t>
  </si>
  <si>
    <t xml:space="preserve">17 horas 51 minutos</t>
  </si>
  <si>
    <t xml:space="preserve">6 de mayo de 2025  19:09</t>
  </si>
  <si>
    <t xml:space="preserve">36 días 3 horas</t>
  </si>
  <si>
    <t xml:space="preserve">31 de marzo de 2025  15:58</t>
  </si>
  <si>
    <t xml:space="preserve">4 de abril de 2025  23:26</t>
  </si>
  <si>
    <t xml:space="preserve">2 horas 56 minutos</t>
  </si>
  <si>
    <t xml:space="preserve">4 de abril de 2025  21:05</t>
  </si>
  <si>
    <t xml:space="preserve">17 minutos 3 segundos</t>
  </si>
  <si>
    <t xml:space="preserve">4 de abril de 2025  19:56</t>
  </si>
  <si>
    <t xml:space="preserve">24 minutos 6 segundos</t>
  </si>
  <si>
    <t xml:space="preserve">25 minutos 8 segundos</t>
  </si>
  <si>
    <t xml:space="preserve">4 de abril de 2025  20:47</t>
  </si>
  <si>
    <t xml:space="preserve">19 minutos 18 segundos</t>
  </si>
  <si>
    <t xml:space="preserve">31 de marzo de 2025  23:52</t>
  </si>
  <si>
    <t xml:space="preserve">8 horas 45 minutos</t>
  </si>
  <si>
    <t xml:space="preserve">31 de marzo de 2025  23:59</t>
  </si>
  <si>
    <t xml:space="preserve">6 segundos</t>
  </si>
  <si>
    <t xml:space="preserve">4 de abril de 2025  21:06</t>
  </si>
  <si>
    <t xml:space="preserve">1 hora 25 minutos</t>
  </si>
  <si>
    <t xml:space="preserve">4 de abril de 2025  21:01</t>
  </si>
  <si>
    <t xml:space="preserve">1 hora 3 minutos</t>
  </si>
  <si>
    <t xml:space="preserve">4 de abril de 2025  20:36</t>
  </si>
  <si>
    <t xml:space="preserve">44 minutos</t>
  </si>
  <si>
    <t xml:space="preserve">31 de marzo de 2025  23:02</t>
  </si>
  <si>
    <t xml:space="preserve">21 minutos 42 segundos</t>
  </si>
  <si>
    <t xml:space="preserve">31 de marzo de 2025  22:28</t>
  </si>
  <si>
    <t xml:space="preserve">7 horas 20 minutos</t>
  </si>
  <si>
    <t xml:space="preserve">4 de abril de 2025  23:28</t>
  </si>
  <si>
    <t xml:space="preserve">3 horas 25 minutos</t>
  </si>
  <si>
    <t xml:space="preserve">31 de marzo de 2025  22:31</t>
  </si>
  <si>
    <t xml:space="preserve">1 minutos 2 segundos</t>
  </si>
  <si>
    <t xml:space="preserve">31 de marzo de 2025  23:03</t>
  </si>
  <si>
    <t xml:space="preserve">7 horas 50 minutos</t>
  </si>
  <si>
    <t xml:space="preserve">-</t>
  </si>
  <si>
    <t xml:space="preserve">4 de abril de 2025  20:32</t>
  </si>
  <si>
    <t xml:space="preserve">9 minutos 58 segundos</t>
  </si>
  <si>
    <t xml:space="preserve">4 de abril de 2025  20:49</t>
  </si>
  <si>
    <t xml:space="preserve">6 minutos 3 segundos</t>
  </si>
  <si>
    <t xml:space="preserve">9 minutos 50 segundos</t>
  </si>
  <si>
    <t xml:space="preserve">33 minutos 35 segundos</t>
  </si>
  <si>
    <t xml:space="preserve">3 de abril de 2025  17:41</t>
  </si>
  <si>
    <t xml:space="preserve">3 días 2 horas</t>
  </si>
  <si>
    <t xml:space="preserve">39 minutos 44 segundos</t>
  </si>
  <si>
    <t xml:space="preserve">4 de abril de 2025  22:51</t>
  </si>
  <si>
    <t xml:space="preserve">14 minutos 47 segundos</t>
  </si>
  <si>
    <t xml:space="preserve">4 de abril de 2025  21:04</t>
  </si>
  <si>
    <t xml:space="preserve">25 minutos 19 segundos</t>
  </si>
  <si>
    <t xml:space="preserve">2 de abril de 2025  18:20</t>
  </si>
  <si>
    <t xml:space="preserve">2 días 3 horas</t>
  </si>
  <si>
    <t xml:space="preserve">4 de abril de 2025  20:37</t>
  </si>
  <si>
    <t xml:space="preserve">1 hora</t>
  </si>
  <si>
    <t xml:space="preserve">21 minutos 6 segundos</t>
  </si>
  <si>
    <t xml:space="preserve">4 de abril de 2025  23:44</t>
  </si>
  <si>
    <t xml:space="preserve">17 minutos 20 segundos</t>
  </si>
  <si>
    <t xml:space="preserve">8 horas 51 minutos</t>
  </si>
  <si>
    <t xml:space="preserve">38 minutos 51 segundos</t>
  </si>
  <si>
    <t xml:space="preserve">49 minutos 45 segundos</t>
  </si>
  <si>
    <t xml:space="preserve">4 de abril de 2025  19:46</t>
  </si>
  <si>
    <t xml:space="preserve">4 días 4 horas</t>
  </si>
  <si>
    <t xml:space="preserve">Calificación/8,00</t>
  </si>
  <si>
    <t xml:space="preserve">7 de mayo de 2025  14:43</t>
  </si>
  <si>
    <t xml:space="preserve">7 minutos 25 segundos</t>
  </si>
  <si>
    <t xml:space="preserve">7 de mayo de 2025  14:49</t>
  </si>
  <si>
    <t xml:space="preserve">4 minutos 38 segundos</t>
  </si>
  <si>
    <t xml:space="preserve">7 de mayo de 2025  14:54</t>
  </si>
  <si>
    <t xml:space="preserve">4 minutos 7 segundos</t>
  </si>
  <si>
    <t xml:space="preserve">7 de mayo de 2025  14:31</t>
  </si>
  <si>
    <t xml:space="preserve">7 minutos 7 segundos</t>
  </si>
  <si>
    <t xml:space="preserve">4 minutos 51 segundos</t>
  </si>
  <si>
    <t xml:space="preserve">9 minutos 23 segundos</t>
  </si>
  <si>
    <t xml:space="preserve">4 minutos 3 segundos</t>
  </si>
  <si>
    <t xml:space="preserve">17 minutos 12 segundos</t>
  </si>
  <si>
    <t xml:space="preserve">16 minutos 35 segundos</t>
  </si>
  <si>
    <t xml:space="preserve">20 minutos 7 segundos</t>
  </si>
  <si>
    <t xml:space="preserve">11 minutos 3 segundos</t>
  </si>
  <si>
    <t xml:space="preserve">4 minutos 26 segundos</t>
  </si>
  <si>
    <t xml:space="preserve">13 minutos 12 segundos</t>
  </si>
  <si>
    <t xml:space="preserve">12 minutos 25 segundos</t>
  </si>
  <si>
    <t xml:space="preserve">8 minutos 22 segundos</t>
  </si>
  <si>
    <t xml:space="preserve">14 minutos 3 segundos</t>
  </si>
  <si>
    <t xml:space="preserve">5 minutos 51 segundos</t>
  </si>
  <si>
    <t xml:space="preserve">4 minutos 34 segundos</t>
  </si>
  <si>
    <t xml:space="preserve">4 minutos 36 segundos</t>
  </si>
  <si>
    <t xml:space="preserve">10 minutos 23 segundos</t>
  </si>
  <si>
    <t xml:space="preserve">15 minutos 38 segundos</t>
  </si>
  <si>
    <t xml:space="preserve">11 minutos 20 segundos</t>
  </si>
  <si>
    <t xml:space="preserve">10 minutos 56 segundos</t>
  </si>
  <si>
    <t xml:space="preserve">10 minutos 31 segundos</t>
  </si>
  <si>
    <t xml:space="preserve">17 minutos 46 segundos</t>
  </si>
  <si>
    <t xml:space="preserve">1 hora 21 minutos</t>
  </si>
  <si>
    <t xml:space="preserve">11 minutos 46 segundos</t>
  </si>
  <si>
    <t xml:space="preserve">8 minutos 35 segundos</t>
  </si>
  <si>
    <t xml:space="preserve">6 minutos 26 segundos</t>
  </si>
  <si>
    <t xml:space="preserve">4 minutos 6 segundos</t>
  </si>
  <si>
    <t xml:space="preserve">6 minutos 24 segundos</t>
  </si>
  <si>
    <t xml:space="preserve">9 minutos 32 segundos</t>
  </si>
  <si>
    <t xml:space="preserve">6 minutos 10 segundos</t>
  </si>
  <si>
    <t xml:space="preserve">8 minutos 27 segundos</t>
  </si>
  <si>
    <t xml:space="preserve">6 minutos 46 segundos</t>
  </si>
  <si>
    <t xml:space="preserve">7 minutos 32 segundos</t>
  </si>
  <si>
    <t xml:space="preserve">8 minutos 6 segundos</t>
  </si>
  <si>
    <t xml:space="preserve">Luciano</t>
  </si>
  <si>
    <t xml:space="preserve">4 minutos 9 segundos</t>
  </si>
  <si>
    <t xml:space="preserve">32 minutos 2 segundos</t>
  </si>
  <si>
    <t xml:space="preserve">30 minutos 10 segundos</t>
  </si>
  <si>
    <t xml:space="preserve">54 minutos 1 segundos</t>
  </si>
  <si>
    <t xml:space="preserve">18 minutos 12 segundos</t>
  </si>
  <si>
    <t xml:space="preserve">20 minutos 50 segundos</t>
  </si>
  <si>
    <t xml:space="preserve">32 minutos 6 segundos</t>
  </si>
  <si>
    <t xml:space="preserve">35 minutos 26 segundos</t>
  </si>
  <si>
    <t xml:space="preserve">34 minutos 7 segundos</t>
  </si>
  <si>
    <t xml:space="preserve">31 minutos 1 segundos</t>
  </si>
  <si>
    <t xml:space="preserve">37 minutos 24 segundos</t>
  </si>
  <si>
    <t xml:space="preserve">49 minutos 41 segundos</t>
  </si>
  <si>
    <t xml:space="preserve">36 minutos 10 segundos</t>
  </si>
  <si>
    <t xml:space="preserve">35 minutos 33 segundos</t>
  </si>
  <si>
    <t xml:space="preserve">51 minutos 39 segundos</t>
  </si>
  <si>
    <t xml:space="preserve">41 minutos</t>
  </si>
  <si>
    <t xml:space="preserve">1 hora 7 minutos</t>
  </si>
  <si>
    <t xml:space="preserve">19 minutos 15 segundos</t>
  </si>
  <si>
    <t xml:space="preserve">17 minutos 58 segundos</t>
  </si>
  <si>
    <t xml:space="preserve">29 minutos 47 segundos</t>
  </si>
  <si>
    <t xml:space="preserve">40 minutos 57 segundos</t>
  </si>
  <si>
    <t xml:space="preserve">54 minutos 55 segundos</t>
  </si>
  <si>
    <t xml:space="preserve">55 minutos 43 segundos</t>
  </si>
  <si>
    <t xml:space="preserve">25 minutos 41 segundos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</si>
</sst>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EB3B"/>
      </patternFill>
    </fill>
    <fill>
      <patternFill patternType="solid">
        <fgColor rgb="FFFFC107"/>
        <bgColor rgb="FFFF9800"/>
      </patternFill>
    </fill>
    <fill>
      <patternFill patternType="solid">
        <fgColor rgb="FFFF9800"/>
        <bgColor rgb="FFFFC107"/>
      </patternFill>
    </fill>
    <fill>
      <patternFill patternType="solid">
        <fgColor rgb="FFFFEB3B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000000"/>
        <sz val="12"/>
      </font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EB3B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107"/>
      <rgbColor rgb="FFFF9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W9" activeCellId="0" sqref="AW9"/>
    </sheetView>
  </sheetViews>
  <sheetFormatPr defaultColWidth="8.9179687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8.61"/>
    <col collapsed="false" customWidth="true" hidden="true" outlineLevel="0" max="4" min="3" style="1" width="33.13"/>
    <col collapsed="false" customWidth="true" hidden="true" outlineLevel="0" max="10" min="5" style="1" width="8.62"/>
    <col collapsed="false" customWidth="true" hidden="true" outlineLevel="0" max="17" min="11" style="1" width="8.67"/>
    <col collapsed="false" customWidth="true" hidden="true" outlineLevel="0" max="23" min="18" style="1" width="8.69"/>
    <col collapsed="false" customWidth="false" hidden="true" outlineLevel="0" max="24" min="24" style="1" width="8.92"/>
    <col collapsed="false" customWidth="true" hidden="true" outlineLevel="0" max="28" min="25" style="1" width="8.84"/>
    <col collapsed="false" customWidth="false" hidden="true" outlineLevel="0" max="34" min="29" style="1" width="8.87"/>
    <col collapsed="false" customWidth="false" hidden="true" outlineLevel="0" max="35" min="35" style="1" width="8.92"/>
    <col collapsed="false" customWidth="true" hidden="true" outlineLevel="0" max="36" min="36" style="1" width="13.76"/>
    <col collapsed="false" customWidth="false" hidden="true" outlineLevel="0" max="44" min="37" style="1" width="8.92"/>
    <col collapsed="false" customWidth="false" hidden="true" outlineLevel="0" max="45" min="45" style="2" width="8.92"/>
  </cols>
  <sheetData>
    <row r="1" customFormat="false" ht="15" hidden="false" customHeight="false" outlineLevel="0" collapsed="false">
      <c r="B1" s="3" t="s">
        <v>0</v>
      </c>
      <c r="C1" s="3"/>
      <c r="D1" s="3"/>
      <c r="AY1" s="1" t="n">
        <v>6</v>
      </c>
      <c r="AZ1" s="1" t="n">
        <v>10</v>
      </c>
    </row>
    <row r="2" customFormat="false" ht="15" hidden="false" customHeight="false" outlineLevel="0" collapsed="false">
      <c r="B2" s="3"/>
      <c r="C2" s="3"/>
      <c r="D2" s="3"/>
      <c r="X2" s="1" t="s">
        <v>1</v>
      </c>
      <c r="Y2" s="1" t="n">
        <v>14</v>
      </c>
      <c r="AY2" s="3" t="s">
        <v>2</v>
      </c>
      <c r="AZ2" s="3" t="s">
        <v>3</v>
      </c>
    </row>
    <row r="3" customFormat="false" ht="15" hidden="false" customHeight="false" outlineLevel="0" collapsed="false">
      <c r="A3" s="1" t="s">
        <v>4</v>
      </c>
      <c r="B3" s="3" t="s">
        <v>5</v>
      </c>
      <c r="C3" s="3" t="s">
        <v>6</v>
      </c>
      <c r="D3" s="3" t="s">
        <v>7</v>
      </c>
      <c r="E3" s="4" t="n">
        <v>45782</v>
      </c>
      <c r="F3" s="4" t="n">
        <v>45796</v>
      </c>
      <c r="G3" s="4" t="n">
        <v>45800</v>
      </c>
      <c r="H3" s="4" t="n">
        <v>45807</v>
      </c>
      <c r="I3" s="1" t="s">
        <v>8</v>
      </c>
      <c r="J3" s="4" t="n">
        <v>45810</v>
      </c>
      <c r="K3" s="4" t="n">
        <v>45814</v>
      </c>
      <c r="L3" s="1" t="s">
        <v>8</v>
      </c>
      <c r="M3" s="4" t="n">
        <v>45817</v>
      </c>
      <c r="N3" s="1" t="s">
        <v>8</v>
      </c>
      <c r="O3" s="4" t="n">
        <v>45831</v>
      </c>
      <c r="P3" s="4" t="n">
        <v>45835</v>
      </c>
      <c r="Q3" s="1" t="s">
        <v>8</v>
      </c>
      <c r="R3" s="4" t="n">
        <v>45838</v>
      </c>
      <c r="S3" s="4" t="n">
        <v>45842</v>
      </c>
      <c r="T3" s="4" t="n">
        <v>45845</v>
      </c>
      <c r="U3" s="4" t="n">
        <v>45849</v>
      </c>
      <c r="V3" s="4" t="n">
        <v>45852</v>
      </c>
      <c r="W3" s="1" t="s">
        <v>9</v>
      </c>
      <c r="X3" s="1" t="s">
        <v>10</v>
      </c>
      <c r="Y3" s="4" t="n">
        <v>45856</v>
      </c>
      <c r="Z3" s="4" t="n">
        <v>45887</v>
      </c>
      <c r="AA3" s="4" t="n">
        <v>45894</v>
      </c>
      <c r="AB3" s="4" t="n">
        <v>45898</v>
      </c>
      <c r="AC3" s="4" t="n">
        <v>45901</v>
      </c>
      <c r="AD3" s="1" t="s">
        <v>8</v>
      </c>
      <c r="AE3" s="4" t="n">
        <v>45908</v>
      </c>
      <c r="AF3" s="4" t="n">
        <v>45915</v>
      </c>
      <c r="AG3" s="4" t="n">
        <v>45922</v>
      </c>
      <c r="AH3" s="4" t="n">
        <v>45926</v>
      </c>
      <c r="AI3" s="4" t="n">
        <v>45929</v>
      </c>
      <c r="AJ3" s="1" t="s">
        <v>8</v>
      </c>
      <c r="AK3" s="4" t="n">
        <v>45933</v>
      </c>
      <c r="AL3" s="4" t="n">
        <v>45936</v>
      </c>
      <c r="AM3" s="4" t="n">
        <v>45943</v>
      </c>
      <c r="AN3" s="4" t="n">
        <v>45947</v>
      </c>
      <c r="AO3" s="4" t="n">
        <v>45950</v>
      </c>
      <c r="AP3" s="4" t="n">
        <v>45957</v>
      </c>
      <c r="AQ3" s="4" t="n">
        <v>45961</v>
      </c>
      <c r="AR3" s="4" t="n">
        <v>45964</v>
      </c>
      <c r="AS3" s="5" t="n">
        <v>45978</v>
      </c>
      <c r="AT3" s="3" t="s">
        <v>9</v>
      </c>
      <c r="AU3" s="3" t="s">
        <v>11</v>
      </c>
      <c r="AV3" s="3" t="s">
        <v>12</v>
      </c>
      <c r="AW3" s="3" t="s">
        <v>10</v>
      </c>
    </row>
    <row r="4" customFormat="false" ht="15.65" hidden="false" customHeight="false" outlineLevel="0" collapsed="false">
      <c r="A4" s="1" t="n">
        <v>1</v>
      </c>
      <c r="B4" s="3" t="s">
        <v>13</v>
      </c>
      <c r="C4" s="3" t="s">
        <v>14</v>
      </c>
      <c r="D4" s="3" t="s">
        <v>15</v>
      </c>
      <c r="E4" s="1" t="s">
        <v>16</v>
      </c>
      <c r="F4" s="1" t="s">
        <v>16</v>
      </c>
      <c r="G4" s="1" t="s">
        <v>16</v>
      </c>
      <c r="H4" s="1" t="s">
        <v>16</v>
      </c>
      <c r="J4" s="1" t="s">
        <v>16</v>
      </c>
      <c r="K4" s="1" t="s">
        <v>16</v>
      </c>
      <c r="M4" s="1" t="s">
        <v>16</v>
      </c>
      <c r="O4" s="1" t="s">
        <v>16</v>
      </c>
      <c r="P4" s="1" t="s">
        <v>17</v>
      </c>
      <c r="Q4" s="1" t="s">
        <v>18</v>
      </c>
      <c r="R4" s="1" t="s">
        <v>16</v>
      </c>
      <c r="S4" s="1" t="s">
        <v>16</v>
      </c>
      <c r="T4" s="1" t="s">
        <v>16</v>
      </c>
      <c r="U4" s="1" t="s">
        <v>16</v>
      </c>
      <c r="V4" s="1" t="s">
        <v>16</v>
      </c>
      <c r="W4" s="1" t="n">
        <f aca="false">COUNTIF(E4:V4,"P")</f>
        <v>13</v>
      </c>
      <c r="X4" s="6" t="n">
        <f aca="false">ROUND(W4*10/$Y$2,0)</f>
        <v>9</v>
      </c>
      <c r="Y4" s="1" t="s">
        <v>17</v>
      </c>
      <c r="Z4" s="1" t="s">
        <v>17</v>
      </c>
      <c r="AA4" s="1" t="s">
        <v>16</v>
      </c>
      <c r="AB4" s="1" t="s">
        <v>16</v>
      </c>
      <c r="AC4" s="1" t="s">
        <v>16</v>
      </c>
      <c r="AE4" s="1" t="s">
        <v>16</v>
      </c>
      <c r="AF4" s="1" t="s">
        <v>16</v>
      </c>
      <c r="AG4" s="1" t="s">
        <v>16</v>
      </c>
      <c r="AH4" s="1" t="s">
        <v>16</v>
      </c>
      <c r="AI4" s="1" t="s">
        <v>16</v>
      </c>
      <c r="AK4" s="1" t="s">
        <v>16</v>
      </c>
      <c r="AL4" s="1" t="s">
        <v>16</v>
      </c>
      <c r="AM4" s="3" t="s">
        <v>17</v>
      </c>
      <c r="AN4" s="3" t="s">
        <v>16</v>
      </c>
      <c r="AO4" s="3" t="s">
        <v>16</v>
      </c>
      <c r="AP4" s="3" t="s">
        <v>16</v>
      </c>
      <c r="AQ4" s="3" t="s">
        <v>16</v>
      </c>
      <c r="AR4" s="3" t="s">
        <v>16</v>
      </c>
      <c r="AS4" s="2" t="s">
        <v>17</v>
      </c>
      <c r="AT4" s="3" t="n">
        <f aca="false">COUNTIF(AM4:AR4,"P")</f>
        <v>5</v>
      </c>
      <c r="AU4" s="3" t="n">
        <f aca="false">COUNTIF(AM4:AR4,"M")</f>
        <v>0</v>
      </c>
      <c r="AV4" s="3" t="n">
        <f aca="false">COUNTIF(AM4:AR4,"T")</f>
        <v>0</v>
      </c>
      <c r="AW4" s="6" t="n">
        <f aca="false">ROUND((AT4+AU4/2+AV4/4)*10/6,0)</f>
        <v>8</v>
      </c>
    </row>
    <row r="5" customFormat="false" ht="15.65" hidden="false" customHeight="false" outlineLevel="0" collapsed="false">
      <c r="A5" s="1" t="n">
        <v>2</v>
      </c>
      <c r="B5" s="3" t="s">
        <v>19</v>
      </c>
      <c r="C5" s="3" t="s">
        <v>20</v>
      </c>
      <c r="D5" s="3" t="s">
        <v>21</v>
      </c>
      <c r="E5" s="1" t="s">
        <v>16</v>
      </c>
      <c r="F5" s="1" t="s">
        <v>16</v>
      </c>
      <c r="G5" s="1" t="s">
        <v>17</v>
      </c>
      <c r="H5" s="1" t="s">
        <v>16</v>
      </c>
      <c r="J5" s="1" t="s">
        <v>16</v>
      </c>
      <c r="K5" s="1" t="s">
        <v>17</v>
      </c>
      <c r="M5" s="1" t="s">
        <v>16</v>
      </c>
      <c r="O5" s="1" t="s">
        <v>17</v>
      </c>
      <c r="P5" s="1" t="s">
        <v>17</v>
      </c>
      <c r="R5" s="1" t="s">
        <v>16</v>
      </c>
      <c r="S5" s="1" t="s">
        <v>16</v>
      </c>
      <c r="T5" s="1" t="s">
        <v>17</v>
      </c>
      <c r="U5" s="1" t="s">
        <v>16</v>
      </c>
      <c r="V5" s="1" t="s">
        <v>16</v>
      </c>
      <c r="W5" s="1" t="n">
        <f aca="false">COUNTIF(E5:V5,"P")</f>
        <v>9</v>
      </c>
      <c r="X5" s="6" t="n">
        <f aca="false">ROUND(W5*10/$Y$2,0)</f>
        <v>6</v>
      </c>
      <c r="Y5" s="1" t="s">
        <v>16</v>
      </c>
      <c r="Z5" s="1" t="s">
        <v>17</v>
      </c>
      <c r="AA5" s="1" t="s">
        <v>17</v>
      </c>
      <c r="AB5" s="1" t="s">
        <v>16</v>
      </c>
      <c r="AC5" s="1" t="s">
        <v>16</v>
      </c>
      <c r="AE5" s="1" t="s">
        <v>16</v>
      </c>
      <c r="AF5" s="1" t="s">
        <v>16</v>
      </c>
      <c r="AG5" s="1" t="s">
        <v>16</v>
      </c>
      <c r="AH5" s="1" t="s">
        <v>16</v>
      </c>
      <c r="AI5" s="1" t="s">
        <v>16</v>
      </c>
      <c r="AK5" s="1" t="s">
        <v>16</v>
      </c>
      <c r="AL5" s="1" t="s">
        <v>16</v>
      </c>
      <c r="AM5" s="3" t="s">
        <v>16</v>
      </c>
      <c r="AN5" s="3" t="s">
        <v>17</v>
      </c>
      <c r="AO5" s="3" t="s">
        <v>16</v>
      </c>
      <c r="AP5" s="3" t="s">
        <v>16</v>
      </c>
      <c r="AQ5" s="3" t="s">
        <v>16</v>
      </c>
      <c r="AR5" s="3" t="s">
        <v>17</v>
      </c>
      <c r="AS5" s="2" t="s">
        <v>17</v>
      </c>
      <c r="AT5" s="3" t="n">
        <f aca="false">COUNTIF(AM5:AR5,"P")</f>
        <v>4</v>
      </c>
      <c r="AU5" s="3" t="n">
        <f aca="false">COUNTIF(AM5:AR5,"M")</f>
        <v>0</v>
      </c>
      <c r="AV5" s="3" t="n">
        <f aca="false">COUNTIF(AM5:AR5,"A")</f>
        <v>2</v>
      </c>
      <c r="AW5" s="6" t="n">
        <f aca="false">ROUND((AT5+AU5/2+AV5/4)*10/6,0)</f>
        <v>8</v>
      </c>
    </row>
    <row r="6" customFormat="false" ht="15.65" hidden="false" customHeight="false" outlineLevel="0" collapsed="false">
      <c r="A6" s="1" t="n">
        <v>3</v>
      </c>
      <c r="B6" s="3" t="s">
        <v>22</v>
      </c>
      <c r="C6" s="3" t="s">
        <v>23</v>
      </c>
      <c r="D6" s="3" t="s">
        <v>24</v>
      </c>
      <c r="E6" s="1" t="s">
        <v>17</v>
      </c>
      <c r="F6" s="1" t="s">
        <v>16</v>
      </c>
      <c r="G6" s="1" t="s">
        <v>16</v>
      </c>
      <c r="H6" s="1" t="s">
        <v>16</v>
      </c>
      <c r="J6" s="1" t="s">
        <v>16</v>
      </c>
      <c r="K6" s="1" t="s">
        <v>16</v>
      </c>
      <c r="M6" s="1" t="s">
        <v>16</v>
      </c>
      <c r="O6" s="1" t="s">
        <v>16</v>
      </c>
      <c r="P6" s="1" t="s">
        <v>16</v>
      </c>
      <c r="R6" s="1" t="s">
        <v>16</v>
      </c>
      <c r="S6" s="1" t="s">
        <v>16</v>
      </c>
      <c r="T6" s="1" t="s">
        <v>16</v>
      </c>
      <c r="U6" s="1" t="s">
        <v>16</v>
      </c>
      <c r="V6" s="1" t="s">
        <v>16</v>
      </c>
      <c r="W6" s="1" t="n">
        <f aca="false">COUNTIF(E6:V6,"P")</f>
        <v>13</v>
      </c>
      <c r="X6" s="6" t="n">
        <f aca="false">ROUND(W6*10/$Y$2,0)</f>
        <v>9</v>
      </c>
      <c r="Y6" s="1" t="s">
        <v>16</v>
      </c>
      <c r="Z6" s="1" t="s">
        <v>17</v>
      </c>
      <c r="AA6" s="1" t="s">
        <v>16</v>
      </c>
      <c r="AB6" s="1" t="s">
        <v>17</v>
      </c>
      <c r="AC6" s="1" t="s">
        <v>16</v>
      </c>
      <c r="AD6" s="1" t="s">
        <v>25</v>
      </c>
      <c r="AE6" s="1" t="s">
        <v>17</v>
      </c>
      <c r="AF6" s="1" t="s">
        <v>16</v>
      </c>
      <c r="AG6" s="1" t="s">
        <v>16</v>
      </c>
      <c r="AH6" s="1" t="s">
        <v>16</v>
      </c>
      <c r="AI6" s="1" t="s">
        <v>16</v>
      </c>
      <c r="AK6" s="1" t="s">
        <v>16</v>
      </c>
      <c r="AL6" s="1" t="s">
        <v>16</v>
      </c>
      <c r="AM6" s="3" t="s">
        <v>16</v>
      </c>
      <c r="AN6" s="3" t="s">
        <v>16</v>
      </c>
      <c r="AO6" s="3" t="s">
        <v>16</v>
      </c>
      <c r="AP6" s="3" t="s">
        <v>16</v>
      </c>
      <c r="AQ6" s="3" t="s">
        <v>16</v>
      </c>
      <c r="AR6" s="3" t="s">
        <v>16</v>
      </c>
      <c r="AS6" s="2" t="s">
        <v>16</v>
      </c>
      <c r="AT6" s="3" t="n">
        <f aca="false">COUNTIF(AM6:AR6,"P")</f>
        <v>6</v>
      </c>
      <c r="AU6" s="3" t="n">
        <f aca="false">COUNTIF(AM6:AR6,"M")</f>
        <v>0</v>
      </c>
      <c r="AV6" s="3" t="n">
        <f aca="false">COUNTIF(AM6:AR6,"A")</f>
        <v>0</v>
      </c>
      <c r="AW6" s="6" t="n">
        <f aca="false">ROUND((AT6+AU6/2+AV6/4)*10/6,0)</f>
        <v>10</v>
      </c>
    </row>
    <row r="7" customFormat="false" ht="15.65" hidden="false" customHeight="false" outlineLevel="0" collapsed="false">
      <c r="A7" s="1" t="n">
        <v>4</v>
      </c>
      <c r="B7" s="3" t="s">
        <v>26</v>
      </c>
      <c r="C7" s="3" t="s">
        <v>27</v>
      </c>
      <c r="D7" s="3" t="s">
        <v>28</v>
      </c>
      <c r="E7" s="1" t="s">
        <v>16</v>
      </c>
      <c r="F7" s="1" t="s">
        <v>16</v>
      </c>
      <c r="G7" s="1" t="s">
        <v>16</v>
      </c>
      <c r="H7" s="1" t="s">
        <v>16</v>
      </c>
      <c r="J7" s="1" t="s">
        <v>16</v>
      </c>
      <c r="K7" s="1" t="s">
        <v>16</v>
      </c>
      <c r="M7" s="1" t="s">
        <v>16</v>
      </c>
      <c r="O7" s="1" t="s">
        <v>16</v>
      </c>
      <c r="P7" s="1" t="s">
        <v>16</v>
      </c>
      <c r="R7" s="1" t="s">
        <v>16</v>
      </c>
      <c r="S7" s="1" t="s">
        <v>16</v>
      </c>
      <c r="T7" s="1" t="s">
        <v>16</v>
      </c>
      <c r="U7" s="1" t="s">
        <v>16</v>
      </c>
      <c r="V7" s="1" t="s">
        <v>16</v>
      </c>
      <c r="W7" s="1" t="n">
        <f aca="false">COUNTIF(E7:V7,"P")</f>
        <v>14</v>
      </c>
      <c r="X7" s="6" t="n">
        <f aca="false">ROUND(W7*10/$Y$2,0)</f>
        <v>10</v>
      </c>
      <c r="Y7" s="1" t="s">
        <v>16</v>
      </c>
      <c r="Z7" s="1" t="s">
        <v>17</v>
      </c>
      <c r="AA7" s="1" t="s">
        <v>16</v>
      </c>
      <c r="AB7" s="1" t="s">
        <v>16</v>
      </c>
      <c r="AC7" s="1" t="s">
        <v>16</v>
      </c>
      <c r="AE7" s="1" t="s">
        <v>16</v>
      </c>
      <c r="AF7" s="1" t="s">
        <v>16</v>
      </c>
      <c r="AG7" s="1" t="s">
        <v>16</v>
      </c>
      <c r="AH7" s="1" t="s">
        <v>16</v>
      </c>
      <c r="AI7" s="1" t="s">
        <v>16</v>
      </c>
      <c r="AK7" s="1" t="s">
        <v>16</v>
      </c>
      <c r="AL7" s="1" t="s">
        <v>16</v>
      </c>
      <c r="AM7" s="3" t="s">
        <v>16</v>
      </c>
      <c r="AN7" s="3" t="s">
        <v>17</v>
      </c>
      <c r="AO7" s="3" t="s">
        <v>16</v>
      </c>
      <c r="AP7" s="3" t="s">
        <v>16</v>
      </c>
      <c r="AQ7" s="3" t="s">
        <v>16</v>
      </c>
      <c r="AR7" s="3" t="s">
        <v>16</v>
      </c>
      <c r="AS7" s="2" t="s">
        <v>17</v>
      </c>
      <c r="AT7" s="3" t="n">
        <f aca="false">COUNTIF(AM7:AR7,"P")</f>
        <v>5</v>
      </c>
      <c r="AU7" s="3" t="n">
        <f aca="false">COUNTIF(AM7:AR7,"M")</f>
        <v>0</v>
      </c>
      <c r="AV7" s="3" t="n">
        <f aca="false">COUNTIF(AM7:AR7,"A")</f>
        <v>1</v>
      </c>
      <c r="AW7" s="6" t="n">
        <f aca="false">ROUND((AT7+AU7/2+AV7/4)*10/6,0)</f>
        <v>9</v>
      </c>
    </row>
    <row r="8" customFormat="false" ht="15.65" hidden="false" customHeight="false" outlineLevel="0" collapsed="false">
      <c r="A8" s="1" t="n">
        <v>5</v>
      </c>
      <c r="B8" s="3" t="s">
        <v>29</v>
      </c>
      <c r="C8" s="3" t="s">
        <v>30</v>
      </c>
      <c r="D8" s="3" t="s">
        <v>31</v>
      </c>
      <c r="E8" s="1" t="s">
        <v>16</v>
      </c>
      <c r="F8" s="1" t="s">
        <v>16</v>
      </c>
      <c r="G8" s="1" t="s">
        <v>16</v>
      </c>
      <c r="H8" s="1" t="s">
        <v>17</v>
      </c>
      <c r="J8" s="1" t="s">
        <v>16</v>
      </c>
      <c r="K8" s="1" t="s">
        <v>17</v>
      </c>
      <c r="M8" s="1" t="s">
        <v>16</v>
      </c>
      <c r="O8" s="1" t="s">
        <v>16</v>
      </c>
      <c r="P8" s="1" t="s">
        <v>16</v>
      </c>
      <c r="R8" s="1" t="s">
        <v>16</v>
      </c>
      <c r="S8" s="1" t="s">
        <v>17</v>
      </c>
      <c r="T8" s="1" t="s">
        <v>16</v>
      </c>
      <c r="U8" s="1" t="s">
        <v>17</v>
      </c>
      <c r="V8" s="1" t="s">
        <v>16</v>
      </c>
      <c r="W8" s="1" t="n">
        <f aca="false">COUNTIF(E8:V8,"P")</f>
        <v>10</v>
      </c>
      <c r="X8" s="6" t="n">
        <f aca="false">ROUND(W8*10/$Y$2,0)</f>
        <v>7</v>
      </c>
      <c r="Y8" s="1" t="s">
        <v>16</v>
      </c>
      <c r="Z8" s="1" t="s">
        <v>16</v>
      </c>
      <c r="AA8" s="1" t="s">
        <v>16</v>
      </c>
      <c r="AB8" s="1" t="s">
        <v>16</v>
      </c>
      <c r="AC8" s="1" t="s">
        <v>16</v>
      </c>
      <c r="AE8" s="1" t="s">
        <v>16</v>
      </c>
      <c r="AF8" s="1" t="s">
        <v>16</v>
      </c>
      <c r="AG8" s="1" t="s">
        <v>16</v>
      </c>
      <c r="AH8" s="1" t="s">
        <v>16</v>
      </c>
      <c r="AI8" s="1" t="s">
        <v>16</v>
      </c>
      <c r="AK8" s="1" t="s">
        <v>16</v>
      </c>
      <c r="AL8" s="1" t="s">
        <v>16</v>
      </c>
      <c r="AM8" s="3" t="s">
        <v>16</v>
      </c>
      <c r="AN8" s="3" t="s">
        <v>16</v>
      </c>
      <c r="AO8" s="3" t="s">
        <v>16</v>
      </c>
      <c r="AP8" s="3" t="s">
        <v>16</v>
      </c>
      <c r="AQ8" s="3" t="s">
        <v>16</v>
      </c>
      <c r="AR8" s="3" t="s">
        <v>16</v>
      </c>
      <c r="AS8" s="2" t="s">
        <v>16</v>
      </c>
      <c r="AT8" s="3" t="n">
        <f aca="false">COUNTIF(AM8:AR8,"P")</f>
        <v>6</v>
      </c>
      <c r="AU8" s="3" t="n">
        <f aca="false">COUNTIF(AM8:AR8,"M")</f>
        <v>0</v>
      </c>
      <c r="AV8" s="3" t="n">
        <f aca="false">COUNTIF(AM8:AR8,"A")</f>
        <v>0</v>
      </c>
      <c r="AW8" s="6" t="n">
        <f aca="false">ROUND((AT8+AU8/2+AV8/4)*10/6,0)</f>
        <v>10</v>
      </c>
    </row>
    <row r="9" customFormat="false" ht="15.65" hidden="false" customHeight="false" outlineLevel="0" collapsed="false">
      <c r="A9" s="1" t="n">
        <v>6</v>
      </c>
      <c r="B9" s="3" t="s">
        <v>32</v>
      </c>
      <c r="C9" s="3" t="s">
        <v>33</v>
      </c>
      <c r="D9" s="3" t="s">
        <v>34</v>
      </c>
      <c r="E9" s="1" t="s">
        <v>17</v>
      </c>
      <c r="F9" s="1" t="s">
        <v>17</v>
      </c>
      <c r="G9" s="1" t="s">
        <v>17</v>
      </c>
      <c r="H9" s="1" t="s">
        <v>16</v>
      </c>
      <c r="J9" s="1" t="s">
        <v>17</v>
      </c>
      <c r="K9" s="1" t="s">
        <v>16</v>
      </c>
      <c r="M9" s="1" t="s">
        <v>16</v>
      </c>
      <c r="O9" s="1" t="s">
        <v>17</v>
      </c>
      <c r="P9" s="1" t="s">
        <v>16</v>
      </c>
      <c r="R9" s="1" t="s">
        <v>17</v>
      </c>
      <c r="S9" s="1" t="s">
        <v>16</v>
      </c>
      <c r="T9" s="1" t="s">
        <v>17</v>
      </c>
      <c r="U9" s="1" t="s">
        <v>16</v>
      </c>
      <c r="V9" s="1" t="s">
        <v>17</v>
      </c>
      <c r="W9" s="1" t="n">
        <f aca="false">COUNTIF(E9:V9,"P")</f>
        <v>6</v>
      </c>
      <c r="X9" s="6" t="n">
        <f aca="false">ROUND(W9*10/$Y$2,0)</f>
        <v>4</v>
      </c>
      <c r="Y9" s="1" t="s">
        <v>17</v>
      </c>
      <c r="Z9" s="1" t="s">
        <v>17</v>
      </c>
      <c r="AA9" s="1" t="s">
        <v>16</v>
      </c>
      <c r="AB9" s="1" t="s">
        <v>17</v>
      </c>
      <c r="AC9" s="1" t="s">
        <v>16</v>
      </c>
      <c r="AE9" s="1" t="s">
        <v>17</v>
      </c>
      <c r="AF9" s="1" t="s">
        <v>16</v>
      </c>
      <c r="AG9" s="1" t="s">
        <v>17</v>
      </c>
      <c r="AH9" s="1" t="s">
        <v>17</v>
      </c>
      <c r="AI9" s="1" t="s">
        <v>16</v>
      </c>
      <c r="AK9" s="1" t="s">
        <v>16</v>
      </c>
      <c r="AL9" s="1" t="s">
        <v>17</v>
      </c>
      <c r="AM9" s="3" t="s">
        <v>16</v>
      </c>
      <c r="AN9" s="3" t="s">
        <v>16</v>
      </c>
      <c r="AO9" s="3" t="s">
        <v>17</v>
      </c>
      <c r="AP9" s="3" t="s">
        <v>17</v>
      </c>
      <c r="AQ9" s="3" t="s">
        <v>16</v>
      </c>
      <c r="AR9" s="3" t="s">
        <v>16</v>
      </c>
      <c r="AS9" s="2" t="s">
        <v>17</v>
      </c>
      <c r="AT9" s="3" t="n">
        <f aca="false">COUNTIF(AM9:AR9,"P")</f>
        <v>4</v>
      </c>
      <c r="AU9" s="3" t="n">
        <f aca="false">COUNTIF(AM9:AR9,"M")</f>
        <v>0</v>
      </c>
      <c r="AV9" s="3" t="n">
        <f aca="false">COUNTIF(AM9:AR9,"A")</f>
        <v>2</v>
      </c>
      <c r="AW9" s="6" t="n">
        <f aca="false">ROUND((AT9+AU9/2+AV9/4)*10/6,0)</f>
        <v>8</v>
      </c>
    </row>
    <row r="10" customFormat="false" ht="15.65" hidden="false" customHeight="false" outlineLevel="0" collapsed="false">
      <c r="A10" s="1" t="n">
        <v>7</v>
      </c>
      <c r="B10" s="3" t="s">
        <v>35</v>
      </c>
      <c r="C10" s="3" t="s">
        <v>36</v>
      </c>
      <c r="D10" s="3" t="s">
        <v>37</v>
      </c>
      <c r="E10" s="1" t="s">
        <v>16</v>
      </c>
      <c r="F10" s="1" t="s">
        <v>16</v>
      </c>
      <c r="G10" s="1" t="s">
        <v>16</v>
      </c>
      <c r="H10" s="1" t="s">
        <v>16</v>
      </c>
      <c r="J10" s="1" t="s">
        <v>16</v>
      </c>
      <c r="K10" s="1" t="s">
        <v>16</v>
      </c>
      <c r="M10" s="1" t="s">
        <v>16</v>
      </c>
      <c r="O10" s="1" t="s">
        <v>16</v>
      </c>
      <c r="P10" s="1" t="s">
        <v>16</v>
      </c>
      <c r="R10" s="1" t="s">
        <v>16</v>
      </c>
      <c r="S10" s="1" t="s">
        <v>16</v>
      </c>
      <c r="T10" s="1" t="s">
        <v>16</v>
      </c>
      <c r="U10" s="1" t="s">
        <v>16</v>
      </c>
      <c r="V10" s="1" t="s">
        <v>16</v>
      </c>
      <c r="W10" s="1" t="n">
        <f aca="false">COUNTIF(E10:V10,"P")</f>
        <v>14</v>
      </c>
      <c r="X10" s="6" t="n">
        <f aca="false">ROUND(W10*10/$Y$2,0)</f>
        <v>10</v>
      </c>
      <c r="Y10" s="1" t="s">
        <v>17</v>
      </c>
      <c r="Z10" s="1" t="s">
        <v>17</v>
      </c>
      <c r="AA10" s="1" t="s">
        <v>16</v>
      </c>
      <c r="AB10" s="1" t="s">
        <v>16</v>
      </c>
      <c r="AC10" s="1" t="s">
        <v>16</v>
      </c>
      <c r="AE10" s="1" t="s">
        <v>16</v>
      </c>
      <c r="AF10" s="1" t="s">
        <v>16</v>
      </c>
      <c r="AG10" s="1" t="s">
        <v>16</v>
      </c>
      <c r="AH10" s="1" t="s">
        <v>16</v>
      </c>
      <c r="AI10" s="1" t="s">
        <v>16</v>
      </c>
      <c r="AJ10" s="1" t="s">
        <v>38</v>
      </c>
      <c r="AK10" s="1" t="s">
        <v>16</v>
      </c>
      <c r="AL10" s="1" t="s">
        <v>16</v>
      </c>
      <c r="AM10" s="3" t="s">
        <v>16</v>
      </c>
      <c r="AN10" s="3" t="s">
        <v>16</v>
      </c>
      <c r="AO10" s="3" t="s">
        <v>16</v>
      </c>
      <c r="AP10" s="3" t="s">
        <v>16</v>
      </c>
      <c r="AQ10" s="3" t="s">
        <v>16</v>
      </c>
      <c r="AR10" s="3" t="s">
        <v>16</v>
      </c>
      <c r="AS10" s="2" t="s">
        <v>16</v>
      </c>
      <c r="AT10" s="3" t="n">
        <f aca="false">COUNTIF(AM10:AR10,"P")</f>
        <v>6</v>
      </c>
      <c r="AU10" s="3" t="n">
        <f aca="false">COUNTIF(AM10:AR10,"M")</f>
        <v>0</v>
      </c>
      <c r="AV10" s="3" t="n">
        <f aca="false">COUNTIF(AM10:AR10,"A")</f>
        <v>0</v>
      </c>
      <c r="AW10" s="6" t="n">
        <f aca="false">ROUND((AT10+AU10/2+AV10/4)*10/6,0)</f>
        <v>10</v>
      </c>
    </row>
    <row r="11" customFormat="false" ht="15.65" hidden="false" customHeight="false" outlineLevel="0" collapsed="false">
      <c r="A11" s="1" t="n">
        <v>8</v>
      </c>
      <c r="B11" s="3" t="s">
        <v>39</v>
      </c>
      <c r="C11" s="3" t="s">
        <v>40</v>
      </c>
      <c r="D11" s="3" t="s">
        <v>41</v>
      </c>
      <c r="E11" s="1" t="s">
        <v>16</v>
      </c>
      <c r="F11" s="1" t="s">
        <v>16</v>
      </c>
      <c r="G11" s="1" t="s">
        <v>16</v>
      </c>
      <c r="H11" s="1" t="s">
        <v>16</v>
      </c>
      <c r="J11" s="1" t="s">
        <v>16</v>
      </c>
      <c r="K11" s="1" t="s">
        <v>16</v>
      </c>
      <c r="M11" s="1" t="s">
        <v>16</v>
      </c>
      <c r="O11" s="1" t="s">
        <v>16</v>
      </c>
      <c r="P11" s="1" t="s">
        <v>16</v>
      </c>
      <c r="R11" s="1" t="s">
        <v>16</v>
      </c>
      <c r="S11" s="1" t="s">
        <v>16</v>
      </c>
      <c r="T11" s="1" t="s">
        <v>16</v>
      </c>
      <c r="U11" s="1" t="s">
        <v>16</v>
      </c>
      <c r="V11" s="1" t="s">
        <v>16</v>
      </c>
      <c r="W11" s="1" t="n">
        <f aca="false">COUNTIF(E11:V11,"P")</f>
        <v>14</v>
      </c>
      <c r="X11" s="6" t="n">
        <f aca="false">ROUND(W11*10/$Y$2,0)</f>
        <v>10</v>
      </c>
      <c r="Y11" s="1" t="s">
        <v>16</v>
      </c>
      <c r="Z11" s="1" t="s">
        <v>17</v>
      </c>
      <c r="AA11" s="1" t="s">
        <v>16</v>
      </c>
      <c r="AB11" s="1" t="s">
        <v>17</v>
      </c>
      <c r="AC11" s="1" t="s">
        <v>16</v>
      </c>
      <c r="AE11" s="1" t="s">
        <v>16</v>
      </c>
      <c r="AF11" s="1" t="s">
        <v>16</v>
      </c>
      <c r="AG11" s="1" t="s">
        <v>16</v>
      </c>
      <c r="AH11" s="1" t="s">
        <v>16</v>
      </c>
      <c r="AI11" s="1" t="s">
        <v>16</v>
      </c>
      <c r="AK11" s="1" t="s">
        <v>16</v>
      </c>
      <c r="AL11" s="1" t="s">
        <v>16</v>
      </c>
      <c r="AM11" s="3" t="s">
        <v>17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2" t="s">
        <v>16</v>
      </c>
      <c r="AT11" s="3" t="n">
        <f aca="false">COUNTIF(AM11:AR11,"P")</f>
        <v>5</v>
      </c>
      <c r="AU11" s="3" t="n">
        <f aca="false">COUNTIF(AM11:AR11,"M")</f>
        <v>0</v>
      </c>
      <c r="AV11" s="3" t="n">
        <f aca="false">COUNTIF(AM11:AR11,"A")</f>
        <v>1</v>
      </c>
      <c r="AW11" s="6" t="n">
        <f aca="false">ROUND((AT11+AU11/2+AV11/4)*10/6,0)</f>
        <v>9</v>
      </c>
    </row>
    <row r="12" customFormat="false" ht="15.65" hidden="false" customHeight="false" outlineLevel="0" collapsed="false">
      <c r="A12" s="1" t="n">
        <v>9</v>
      </c>
      <c r="B12" s="3" t="s">
        <v>42</v>
      </c>
      <c r="C12" s="3" t="s">
        <v>43</v>
      </c>
      <c r="D12" s="3" t="s">
        <v>44</v>
      </c>
      <c r="E12" s="1" t="s">
        <v>16</v>
      </c>
      <c r="F12" s="1" t="s">
        <v>16</v>
      </c>
      <c r="G12" s="1" t="s">
        <v>16</v>
      </c>
      <c r="H12" s="1" t="s">
        <v>16</v>
      </c>
      <c r="J12" s="1" t="s">
        <v>16</v>
      </c>
      <c r="K12" s="1" t="s">
        <v>16</v>
      </c>
      <c r="M12" s="1" t="s">
        <v>16</v>
      </c>
      <c r="O12" s="1" t="s">
        <v>16</v>
      </c>
      <c r="P12" s="1" t="s">
        <v>16</v>
      </c>
      <c r="R12" s="1" t="s">
        <v>16</v>
      </c>
      <c r="S12" s="1" t="s">
        <v>16</v>
      </c>
      <c r="T12" s="1" t="s">
        <v>16</v>
      </c>
      <c r="U12" s="1" t="s">
        <v>16</v>
      </c>
      <c r="V12" s="1" t="s">
        <v>16</v>
      </c>
      <c r="W12" s="1" t="n">
        <f aca="false">COUNTIF(E12:V12,"P")</f>
        <v>14</v>
      </c>
      <c r="X12" s="6" t="n">
        <f aca="false">ROUND(W12*10/$Y$2,0)</f>
        <v>10</v>
      </c>
      <c r="Y12" s="1" t="s">
        <v>16</v>
      </c>
      <c r="Z12" s="1" t="s">
        <v>16</v>
      </c>
      <c r="AA12" s="1" t="s">
        <v>16</v>
      </c>
      <c r="AB12" s="1" t="s">
        <v>16</v>
      </c>
      <c r="AC12" s="1" t="s">
        <v>16</v>
      </c>
      <c r="AE12" s="1" t="s">
        <v>16</v>
      </c>
      <c r="AF12" s="1" t="s">
        <v>16</v>
      </c>
      <c r="AG12" s="1" t="s">
        <v>16</v>
      </c>
      <c r="AH12" s="1" t="s">
        <v>16</v>
      </c>
      <c r="AI12" s="1" t="s">
        <v>16</v>
      </c>
      <c r="AK12" s="1" t="s">
        <v>16</v>
      </c>
      <c r="AL12" s="1" t="s">
        <v>16</v>
      </c>
      <c r="AM12" s="3" t="s">
        <v>16</v>
      </c>
      <c r="AN12" s="3" t="s">
        <v>16</v>
      </c>
      <c r="AO12" s="3" t="s">
        <v>16</v>
      </c>
      <c r="AP12" s="3" t="s">
        <v>16</v>
      </c>
      <c r="AQ12" s="3" t="s">
        <v>16</v>
      </c>
      <c r="AR12" s="3" t="s">
        <v>16</v>
      </c>
      <c r="AS12" s="2" t="s">
        <v>16</v>
      </c>
      <c r="AT12" s="3" t="n">
        <f aca="false">COUNTIF(AM12:AR12,"P")</f>
        <v>6</v>
      </c>
      <c r="AU12" s="3" t="n">
        <f aca="false">COUNTIF(AM12:AR12,"M")</f>
        <v>0</v>
      </c>
      <c r="AV12" s="3" t="n">
        <f aca="false">COUNTIF(AM12:AR12,"A")</f>
        <v>0</v>
      </c>
      <c r="AW12" s="6" t="n">
        <f aca="false">ROUND((AT12+AU12/2+AV12/4)*10/6,0)</f>
        <v>10</v>
      </c>
    </row>
    <row r="13" customFormat="false" ht="15.65" hidden="false" customHeight="false" outlineLevel="0" collapsed="false">
      <c r="A13" s="1" t="n">
        <v>10</v>
      </c>
      <c r="B13" s="3" t="s">
        <v>45</v>
      </c>
      <c r="C13" s="3" t="s">
        <v>46</v>
      </c>
      <c r="D13" s="3" t="s">
        <v>47</v>
      </c>
      <c r="E13" s="1" t="s">
        <v>16</v>
      </c>
      <c r="F13" s="1" t="s">
        <v>16</v>
      </c>
      <c r="G13" s="1" t="s">
        <v>16</v>
      </c>
      <c r="H13" s="1" t="s">
        <v>16</v>
      </c>
      <c r="J13" s="1" t="s">
        <v>16</v>
      </c>
      <c r="K13" s="1" t="s">
        <v>16</v>
      </c>
      <c r="M13" s="1" t="s">
        <v>16</v>
      </c>
      <c r="O13" s="1" t="s">
        <v>17</v>
      </c>
      <c r="P13" s="1" t="s">
        <v>16</v>
      </c>
      <c r="R13" s="1" t="s">
        <v>16</v>
      </c>
      <c r="S13" s="1" t="s">
        <v>16</v>
      </c>
      <c r="T13" s="1" t="s">
        <v>16</v>
      </c>
      <c r="U13" s="1" t="s">
        <v>16</v>
      </c>
      <c r="V13" s="1" t="s">
        <v>16</v>
      </c>
      <c r="W13" s="1" t="n">
        <f aca="false">COUNTIF(E13:V13,"P")</f>
        <v>13</v>
      </c>
      <c r="X13" s="6" t="n">
        <f aca="false">ROUND(W13*10/$Y$2,0)</f>
        <v>9</v>
      </c>
      <c r="Y13" s="1" t="s">
        <v>16</v>
      </c>
      <c r="Z13" s="1" t="s">
        <v>16</v>
      </c>
      <c r="AA13" s="1" t="s">
        <v>16</v>
      </c>
      <c r="AB13" s="1" t="s">
        <v>16</v>
      </c>
      <c r="AC13" s="1" t="s">
        <v>16</v>
      </c>
      <c r="AE13" s="1" t="s">
        <v>16</v>
      </c>
      <c r="AF13" s="1" t="s">
        <v>16</v>
      </c>
      <c r="AG13" s="1" t="s">
        <v>16</v>
      </c>
      <c r="AH13" s="1" t="s">
        <v>16</v>
      </c>
      <c r="AI13" s="1" t="s">
        <v>16</v>
      </c>
      <c r="AK13" s="1" t="s">
        <v>17</v>
      </c>
      <c r="AL13" s="1" t="s">
        <v>16</v>
      </c>
      <c r="AM13" s="3" t="s">
        <v>16</v>
      </c>
      <c r="AN13" s="3" t="s">
        <v>16</v>
      </c>
      <c r="AO13" s="3" t="s">
        <v>16</v>
      </c>
      <c r="AP13" s="3" t="s">
        <v>16</v>
      </c>
      <c r="AQ13" s="3" t="s">
        <v>16</v>
      </c>
      <c r="AR13" s="3" t="s">
        <v>16</v>
      </c>
      <c r="AS13" s="2" t="s">
        <v>16</v>
      </c>
      <c r="AT13" s="3" t="n">
        <f aca="false">COUNTIF(AM13:AR13,"P")</f>
        <v>6</v>
      </c>
      <c r="AU13" s="3" t="n">
        <f aca="false">COUNTIF(AM13:AR13,"M")</f>
        <v>0</v>
      </c>
      <c r="AV13" s="3" t="n">
        <f aca="false">COUNTIF(AM13:AR13,"A")</f>
        <v>0</v>
      </c>
      <c r="AW13" s="6" t="n">
        <f aca="false">ROUND((AT13+AU13/2+AV13/4)*10/6,0)</f>
        <v>10</v>
      </c>
    </row>
    <row r="14" customFormat="false" ht="15.65" hidden="false" customHeight="false" outlineLevel="0" collapsed="false">
      <c r="A14" s="1" t="n">
        <v>11</v>
      </c>
      <c r="B14" s="3" t="s">
        <v>48</v>
      </c>
      <c r="C14" s="3" t="s">
        <v>49</v>
      </c>
      <c r="D14" s="3" t="s">
        <v>50</v>
      </c>
      <c r="E14" s="1" t="s">
        <v>16</v>
      </c>
      <c r="F14" s="1" t="s">
        <v>16</v>
      </c>
      <c r="G14" s="1" t="s">
        <v>16</v>
      </c>
      <c r="H14" s="1" t="s">
        <v>16</v>
      </c>
      <c r="J14" s="1" t="s">
        <v>16</v>
      </c>
      <c r="K14" s="1" t="s">
        <v>16</v>
      </c>
      <c r="M14" s="1" t="s">
        <v>16</v>
      </c>
      <c r="O14" s="1" t="s">
        <v>17</v>
      </c>
      <c r="P14" s="1" t="s">
        <v>16</v>
      </c>
      <c r="R14" s="1" t="s">
        <v>16</v>
      </c>
      <c r="S14" s="1" t="s">
        <v>16</v>
      </c>
      <c r="T14" s="1" t="s">
        <v>16</v>
      </c>
      <c r="U14" s="1" t="s">
        <v>16</v>
      </c>
      <c r="V14" s="1" t="s">
        <v>16</v>
      </c>
      <c r="W14" s="1" t="n">
        <f aca="false">COUNTIF(E14:V14,"P")</f>
        <v>13</v>
      </c>
      <c r="X14" s="6" t="n">
        <f aca="false">ROUND(W14*10/$Y$2,0)</f>
        <v>9</v>
      </c>
      <c r="Y14" s="1" t="s">
        <v>16</v>
      </c>
      <c r="Z14" s="1" t="s">
        <v>17</v>
      </c>
      <c r="AA14" s="1" t="s">
        <v>16</v>
      </c>
      <c r="AB14" s="1" t="s">
        <v>16</v>
      </c>
      <c r="AC14" s="1" t="s">
        <v>16</v>
      </c>
      <c r="AE14" s="1" t="s">
        <v>16</v>
      </c>
      <c r="AF14" s="1" t="s">
        <v>16</v>
      </c>
      <c r="AG14" s="1" t="s">
        <v>16</v>
      </c>
      <c r="AH14" s="1" t="s">
        <v>16</v>
      </c>
      <c r="AI14" s="1" t="s">
        <v>16</v>
      </c>
      <c r="AJ14" s="1" t="s">
        <v>38</v>
      </c>
      <c r="AK14" s="1" t="s">
        <v>17</v>
      </c>
      <c r="AL14" s="1" t="s">
        <v>16</v>
      </c>
      <c r="AM14" s="3" t="s">
        <v>17</v>
      </c>
      <c r="AN14" s="3" t="s">
        <v>16</v>
      </c>
      <c r="AO14" s="3" t="s">
        <v>17</v>
      </c>
      <c r="AP14" s="3" t="s">
        <v>16</v>
      </c>
      <c r="AQ14" s="3" t="s">
        <v>16</v>
      </c>
      <c r="AR14" s="3" t="s">
        <v>16</v>
      </c>
      <c r="AS14" s="2" t="s">
        <v>17</v>
      </c>
      <c r="AT14" s="3" t="n">
        <f aca="false">COUNTIF(AM14:AR14,"P")</f>
        <v>4</v>
      </c>
      <c r="AU14" s="3" t="n">
        <f aca="false">COUNTIF(AM14:AR14,"M")</f>
        <v>0</v>
      </c>
      <c r="AV14" s="3" t="n">
        <f aca="false">COUNTIF(AM14:AR14,"A")</f>
        <v>2</v>
      </c>
      <c r="AW14" s="6" t="n">
        <f aca="false">ROUND((AT14+AU14/2+AV14/4)*10/6,0)</f>
        <v>8</v>
      </c>
    </row>
    <row r="15" customFormat="false" ht="15.65" hidden="false" customHeight="false" outlineLevel="0" collapsed="false">
      <c r="A15" s="1" t="n">
        <v>12</v>
      </c>
      <c r="B15" s="3" t="s">
        <v>51</v>
      </c>
      <c r="C15" s="3" t="s">
        <v>52</v>
      </c>
      <c r="D15" s="3" t="s">
        <v>53</v>
      </c>
      <c r="E15" s="1" t="s">
        <v>16</v>
      </c>
      <c r="F15" s="1" t="s">
        <v>16</v>
      </c>
      <c r="G15" s="1" t="s">
        <v>16</v>
      </c>
      <c r="H15" s="1" t="s">
        <v>16</v>
      </c>
      <c r="J15" s="1" t="s">
        <v>16</v>
      </c>
      <c r="K15" s="1" t="s">
        <v>16</v>
      </c>
      <c r="M15" s="1" t="s">
        <v>16</v>
      </c>
      <c r="O15" s="1" t="s">
        <v>17</v>
      </c>
      <c r="P15" s="1" t="s">
        <v>17</v>
      </c>
      <c r="R15" s="1" t="s">
        <v>16</v>
      </c>
      <c r="S15" s="1" t="s">
        <v>16</v>
      </c>
      <c r="T15" s="1" t="s">
        <v>16</v>
      </c>
      <c r="U15" s="1" t="s">
        <v>16</v>
      </c>
      <c r="V15" s="1" t="s">
        <v>16</v>
      </c>
      <c r="W15" s="1" t="n">
        <f aca="false">COUNTIF(E15:V15,"P")</f>
        <v>12</v>
      </c>
      <c r="X15" s="6" t="n">
        <f aca="false">ROUND(W15*10/$Y$2,0)</f>
        <v>9</v>
      </c>
      <c r="Y15" s="1" t="s">
        <v>16</v>
      </c>
      <c r="Z15" s="1" t="s">
        <v>17</v>
      </c>
      <c r="AA15" s="1" t="s">
        <v>17</v>
      </c>
      <c r="AB15" s="1" t="s">
        <v>16</v>
      </c>
      <c r="AC15" s="1" t="s">
        <v>16</v>
      </c>
      <c r="AE15" s="1" t="s">
        <v>16</v>
      </c>
      <c r="AF15" s="1" t="s">
        <v>16</v>
      </c>
      <c r="AG15" s="1" t="s">
        <v>16</v>
      </c>
      <c r="AH15" s="1" t="s">
        <v>17</v>
      </c>
      <c r="AI15" s="1" t="s">
        <v>16</v>
      </c>
      <c r="AK15" s="1" t="s">
        <v>16</v>
      </c>
      <c r="AL15" s="1" t="s">
        <v>16</v>
      </c>
      <c r="AM15" s="3" t="s">
        <v>17</v>
      </c>
      <c r="AN15" s="3" t="s">
        <v>16</v>
      </c>
      <c r="AO15" s="3" t="s">
        <v>16</v>
      </c>
      <c r="AP15" s="3" t="s">
        <v>16</v>
      </c>
      <c r="AQ15" s="3" t="s">
        <v>16</v>
      </c>
      <c r="AR15" s="3" t="s">
        <v>16</v>
      </c>
      <c r="AS15" s="2" t="s">
        <v>16</v>
      </c>
      <c r="AT15" s="3" t="n">
        <f aca="false">COUNTIF(AM15:AR15,"P")</f>
        <v>5</v>
      </c>
      <c r="AU15" s="3" t="n">
        <f aca="false">COUNTIF(AM15:AR15,"M")</f>
        <v>0</v>
      </c>
      <c r="AV15" s="3" t="n">
        <f aca="false">COUNTIF(AM15:AR15,"A")</f>
        <v>1</v>
      </c>
      <c r="AW15" s="6" t="n">
        <f aca="false">ROUND((AT15+AU15/2+AV15/4)*10/6,0)</f>
        <v>9</v>
      </c>
    </row>
    <row r="16" customFormat="false" ht="15.65" hidden="false" customHeight="false" outlineLevel="0" collapsed="false">
      <c r="A16" s="1" t="n">
        <v>13</v>
      </c>
      <c r="B16" s="3" t="s">
        <v>54</v>
      </c>
      <c r="C16" s="3" t="s">
        <v>55</v>
      </c>
      <c r="D16" s="3" t="s">
        <v>56</v>
      </c>
      <c r="E16" s="1" t="s">
        <v>16</v>
      </c>
      <c r="F16" s="1" t="s">
        <v>16</v>
      </c>
      <c r="G16" s="1" t="s">
        <v>16</v>
      </c>
      <c r="H16" s="1" t="s">
        <v>16</v>
      </c>
      <c r="J16" s="1" t="s">
        <v>16</v>
      </c>
      <c r="K16" s="1" t="s">
        <v>16</v>
      </c>
      <c r="L16" s="1" t="s">
        <v>57</v>
      </c>
      <c r="M16" s="1" t="s">
        <v>16</v>
      </c>
      <c r="N16" s="1" t="s">
        <v>57</v>
      </c>
      <c r="O16" s="1" t="s">
        <v>16</v>
      </c>
      <c r="P16" s="1" t="s">
        <v>16</v>
      </c>
      <c r="R16" s="1" t="s">
        <v>16</v>
      </c>
      <c r="S16" s="1" t="s">
        <v>16</v>
      </c>
      <c r="T16" s="1" t="s">
        <v>16</v>
      </c>
      <c r="U16" s="1" t="s">
        <v>16</v>
      </c>
      <c r="V16" s="1" t="s">
        <v>16</v>
      </c>
      <c r="W16" s="1" t="n">
        <f aca="false">COUNTIF(E16:V16,"P")</f>
        <v>14</v>
      </c>
      <c r="X16" s="6" t="n">
        <f aca="false">ROUND(W16*10/$Y$2,0)</f>
        <v>10</v>
      </c>
      <c r="Y16" s="1" t="s">
        <v>16</v>
      </c>
      <c r="Z16" s="1" t="s">
        <v>17</v>
      </c>
      <c r="AA16" s="1" t="s">
        <v>16</v>
      </c>
      <c r="AB16" s="1" t="s">
        <v>17</v>
      </c>
      <c r="AC16" s="1" t="s">
        <v>16</v>
      </c>
      <c r="AE16" s="1" t="s">
        <v>16</v>
      </c>
      <c r="AF16" s="1" t="s">
        <v>17</v>
      </c>
      <c r="AG16" s="1" t="s">
        <v>16</v>
      </c>
      <c r="AH16" s="1" t="s">
        <v>16</v>
      </c>
      <c r="AI16" s="1" t="s">
        <v>16</v>
      </c>
      <c r="AK16" s="1" t="s">
        <v>16</v>
      </c>
      <c r="AL16" s="1" t="s">
        <v>16</v>
      </c>
      <c r="AM16" s="3" t="s">
        <v>16</v>
      </c>
      <c r="AN16" s="3" t="s">
        <v>16</v>
      </c>
      <c r="AO16" s="3" t="s">
        <v>16</v>
      </c>
      <c r="AP16" s="3" t="s">
        <v>16</v>
      </c>
      <c r="AQ16" s="3" t="s">
        <v>17</v>
      </c>
      <c r="AR16" s="3" t="s">
        <v>16</v>
      </c>
      <c r="AS16" s="2" t="s">
        <v>16</v>
      </c>
      <c r="AT16" s="3" t="n">
        <f aca="false">COUNTIF(AM16:AR16,"P")</f>
        <v>5</v>
      </c>
      <c r="AU16" s="3" t="n">
        <f aca="false">COUNTIF(AM16:AR16,"M")</f>
        <v>0</v>
      </c>
      <c r="AV16" s="3" t="n">
        <f aca="false">COUNTIF(AM16:AR16,"A")</f>
        <v>1</v>
      </c>
      <c r="AW16" s="6" t="n">
        <f aca="false">ROUND((AT16+AU16/2+AV16/4)*10/6,0)</f>
        <v>9</v>
      </c>
    </row>
    <row r="17" customFormat="false" ht="15.65" hidden="false" customHeight="false" outlineLevel="0" collapsed="false">
      <c r="A17" s="1" t="n">
        <v>14</v>
      </c>
      <c r="B17" s="3" t="s">
        <v>58</v>
      </c>
      <c r="C17" s="3" t="s">
        <v>59</v>
      </c>
      <c r="D17" s="3" t="s">
        <v>60</v>
      </c>
      <c r="E17" s="1" t="s">
        <v>16</v>
      </c>
      <c r="F17" s="1" t="s">
        <v>16</v>
      </c>
      <c r="G17" s="1" t="s">
        <v>16</v>
      </c>
      <c r="H17" s="1" t="s">
        <v>16</v>
      </c>
      <c r="J17" s="1" t="s">
        <v>16</v>
      </c>
      <c r="K17" s="1" t="s">
        <v>16</v>
      </c>
      <c r="M17" s="1" t="s">
        <v>16</v>
      </c>
      <c r="O17" s="1" t="s">
        <v>16</v>
      </c>
      <c r="P17" s="1" t="s">
        <v>16</v>
      </c>
      <c r="R17" s="1" t="s">
        <v>16</v>
      </c>
      <c r="S17" s="1" t="s">
        <v>16</v>
      </c>
      <c r="T17" s="1" t="s">
        <v>16</v>
      </c>
      <c r="U17" s="1" t="s">
        <v>16</v>
      </c>
      <c r="V17" s="1" t="s">
        <v>16</v>
      </c>
      <c r="W17" s="1" t="n">
        <f aca="false">COUNTIF(E17:V17,"P")</f>
        <v>14</v>
      </c>
      <c r="X17" s="6" t="n">
        <f aca="false">ROUND(W17*10/$Y$2,0)</f>
        <v>10</v>
      </c>
      <c r="Y17" s="1" t="s">
        <v>16</v>
      </c>
      <c r="Z17" s="1" t="s">
        <v>17</v>
      </c>
      <c r="AA17" s="1" t="s">
        <v>16</v>
      </c>
      <c r="AB17" s="1" t="s">
        <v>16</v>
      </c>
      <c r="AC17" s="1" t="s">
        <v>16</v>
      </c>
      <c r="AE17" s="1" t="s">
        <v>16</v>
      </c>
      <c r="AF17" s="1" t="s">
        <v>16</v>
      </c>
      <c r="AG17" s="1" t="s">
        <v>16</v>
      </c>
      <c r="AH17" s="1" t="s">
        <v>16</v>
      </c>
      <c r="AI17" s="1" t="s">
        <v>16</v>
      </c>
      <c r="AK17" s="1" t="s">
        <v>16</v>
      </c>
      <c r="AL17" s="1" t="s">
        <v>16</v>
      </c>
      <c r="AM17" s="3" t="s">
        <v>16</v>
      </c>
      <c r="AN17" s="3" t="s">
        <v>16</v>
      </c>
      <c r="AO17" s="3" t="s">
        <v>16</v>
      </c>
      <c r="AP17" s="3" t="s">
        <v>16</v>
      </c>
      <c r="AQ17" s="3" t="s">
        <v>17</v>
      </c>
      <c r="AR17" s="3" t="s">
        <v>16</v>
      </c>
      <c r="AS17" s="2" t="s">
        <v>16</v>
      </c>
      <c r="AT17" s="3" t="n">
        <f aca="false">COUNTIF(AM17:AR17,"P")</f>
        <v>5</v>
      </c>
      <c r="AU17" s="3" t="n">
        <f aca="false">COUNTIF(AM17:AR17,"M")</f>
        <v>0</v>
      </c>
      <c r="AV17" s="3" t="n">
        <f aca="false">COUNTIF(AM17:AR17,"A")</f>
        <v>1</v>
      </c>
      <c r="AW17" s="6" t="n">
        <f aca="false">ROUND((AT17+AU17/2+AV17/4)*10/6,0)</f>
        <v>9</v>
      </c>
    </row>
    <row r="18" customFormat="false" ht="15.65" hidden="false" customHeight="false" outlineLevel="0" collapsed="false">
      <c r="A18" s="1" t="n">
        <v>15</v>
      </c>
      <c r="B18" s="3" t="s">
        <v>61</v>
      </c>
      <c r="C18" s="3" t="s">
        <v>62</v>
      </c>
      <c r="D18" s="3" t="s">
        <v>63</v>
      </c>
      <c r="E18" s="1" t="s">
        <v>16</v>
      </c>
      <c r="F18" s="1" t="s">
        <v>16</v>
      </c>
      <c r="G18" s="1" t="s">
        <v>17</v>
      </c>
      <c r="H18" s="1" t="s">
        <v>16</v>
      </c>
      <c r="J18" s="1" t="s">
        <v>16</v>
      </c>
      <c r="K18" s="1" t="s">
        <v>16</v>
      </c>
      <c r="M18" s="1" t="s">
        <v>16</v>
      </c>
      <c r="O18" s="1" t="s">
        <v>16</v>
      </c>
      <c r="P18" s="1" t="s">
        <v>17</v>
      </c>
      <c r="R18" s="1" t="s">
        <v>16</v>
      </c>
      <c r="S18" s="1" t="s">
        <v>16</v>
      </c>
      <c r="T18" s="1" t="s">
        <v>16</v>
      </c>
      <c r="U18" s="1" t="s">
        <v>16</v>
      </c>
      <c r="V18" s="1" t="s">
        <v>16</v>
      </c>
      <c r="W18" s="1" t="n">
        <f aca="false">COUNTIF(E18:V18,"P")</f>
        <v>12</v>
      </c>
      <c r="X18" s="6" t="n">
        <f aca="false">ROUND(W18*10/$Y$2,0)</f>
        <v>9</v>
      </c>
      <c r="Y18" s="1" t="s">
        <v>16</v>
      </c>
      <c r="Z18" s="1" t="s">
        <v>16</v>
      </c>
      <c r="AA18" s="1" t="s">
        <v>16</v>
      </c>
      <c r="AB18" s="1" t="s">
        <v>16</v>
      </c>
      <c r="AC18" s="1" t="s">
        <v>16</v>
      </c>
      <c r="AE18" s="1" t="s">
        <v>16</v>
      </c>
      <c r="AF18" s="1" t="s">
        <v>16</v>
      </c>
      <c r="AG18" s="1" t="s">
        <v>16</v>
      </c>
      <c r="AH18" s="1" t="s">
        <v>16</v>
      </c>
      <c r="AI18" s="1" t="s">
        <v>16</v>
      </c>
      <c r="AK18" s="1" t="s">
        <v>16</v>
      </c>
      <c r="AL18" s="1" t="s">
        <v>16</v>
      </c>
      <c r="AM18" s="3" t="s">
        <v>16</v>
      </c>
      <c r="AN18" s="3" t="s">
        <v>16</v>
      </c>
      <c r="AO18" s="3" t="s">
        <v>16</v>
      </c>
      <c r="AP18" s="3" t="s">
        <v>16</v>
      </c>
      <c r="AQ18" s="3" t="s">
        <v>16</v>
      </c>
      <c r="AR18" s="3" t="s">
        <v>16</v>
      </c>
      <c r="AS18" s="2" t="s">
        <v>17</v>
      </c>
      <c r="AT18" s="3" t="n">
        <f aca="false">COUNTIF(AM18:AR18,"P")</f>
        <v>6</v>
      </c>
      <c r="AU18" s="3" t="n">
        <f aca="false">COUNTIF(AM18:AR18,"M")</f>
        <v>0</v>
      </c>
      <c r="AV18" s="3" t="n">
        <f aca="false">COUNTIF(AM18:AR18,"A")</f>
        <v>0</v>
      </c>
      <c r="AW18" s="6" t="n">
        <f aca="false">ROUND((AT18+AU18/2+AV18/4)*10/6,0)</f>
        <v>10</v>
      </c>
    </row>
    <row r="19" customFormat="false" ht="15.65" hidden="false" customHeight="false" outlineLevel="0" collapsed="false">
      <c r="A19" s="1" t="n">
        <v>16</v>
      </c>
      <c r="B19" s="3" t="s">
        <v>64</v>
      </c>
      <c r="C19" s="3" t="s">
        <v>65</v>
      </c>
      <c r="D19" s="3" t="s">
        <v>66</v>
      </c>
      <c r="E19" s="1" t="s">
        <v>16</v>
      </c>
      <c r="F19" s="1" t="s">
        <v>16</v>
      </c>
      <c r="G19" s="1" t="s">
        <v>16</v>
      </c>
      <c r="H19" s="1" t="s">
        <v>16</v>
      </c>
      <c r="J19" s="1" t="s">
        <v>16</v>
      </c>
      <c r="K19" s="1" t="s">
        <v>16</v>
      </c>
      <c r="M19" s="1" t="s">
        <v>16</v>
      </c>
      <c r="O19" s="1" t="s">
        <v>16</v>
      </c>
      <c r="P19" s="1" t="s">
        <v>16</v>
      </c>
      <c r="R19" s="1" t="s">
        <v>16</v>
      </c>
      <c r="S19" s="1" t="s">
        <v>17</v>
      </c>
      <c r="T19" s="1" t="s">
        <v>16</v>
      </c>
      <c r="U19" s="1" t="s">
        <v>16</v>
      </c>
      <c r="V19" s="1" t="s">
        <v>16</v>
      </c>
      <c r="W19" s="1" t="n">
        <f aca="false">COUNTIF(E19:V19,"P")</f>
        <v>13</v>
      </c>
      <c r="X19" s="6" t="n">
        <f aca="false">ROUND(W19*10/$Y$2,0)</f>
        <v>9</v>
      </c>
      <c r="Y19" s="1" t="s">
        <v>16</v>
      </c>
      <c r="Z19" s="1" t="s">
        <v>17</v>
      </c>
      <c r="AA19" s="1" t="s">
        <v>17</v>
      </c>
      <c r="AB19" s="1" t="s">
        <v>16</v>
      </c>
      <c r="AC19" s="1" t="s">
        <v>16</v>
      </c>
      <c r="AE19" s="1" t="s">
        <v>16</v>
      </c>
      <c r="AF19" s="1" t="s">
        <v>16</v>
      </c>
      <c r="AG19" s="1" t="s">
        <v>16</v>
      </c>
      <c r="AH19" s="1" t="s">
        <v>16</v>
      </c>
      <c r="AI19" s="1" t="s">
        <v>16</v>
      </c>
      <c r="AK19" s="1" t="s">
        <v>16</v>
      </c>
      <c r="AL19" s="1" t="s">
        <v>67</v>
      </c>
      <c r="AM19" s="3" t="s">
        <v>16</v>
      </c>
      <c r="AN19" s="3" t="s">
        <v>16</v>
      </c>
      <c r="AO19" s="3" t="s">
        <v>16</v>
      </c>
      <c r="AP19" s="3" t="s">
        <v>16</v>
      </c>
      <c r="AQ19" s="3" t="s">
        <v>17</v>
      </c>
      <c r="AR19" s="3" t="s">
        <v>16</v>
      </c>
      <c r="AS19" s="2" t="s">
        <v>16</v>
      </c>
      <c r="AT19" s="3" t="n">
        <f aca="false">COUNTIF(AM19:AR19,"P")</f>
        <v>5</v>
      </c>
      <c r="AU19" s="3" t="n">
        <f aca="false">COUNTIF(AM19:AR19,"M")</f>
        <v>0</v>
      </c>
      <c r="AV19" s="3" t="n">
        <f aca="false">COUNTIF(AM19:AR19,"A")</f>
        <v>1</v>
      </c>
      <c r="AW19" s="6" t="n">
        <f aca="false">ROUND((AT19+AU19/2+AV19/4)*10/6,0)</f>
        <v>9</v>
      </c>
    </row>
    <row r="20" customFormat="false" ht="15.65" hidden="false" customHeight="false" outlineLevel="0" collapsed="false">
      <c r="A20" s="1" t="n">
        <v>17</v>
      </c>
      <c r="B20" s="3" t="s">
        <v>68</v>
      </c>
      <c r="C20" s="3" t="s">
        <v>69</v>
      </c>
      <c r="D20" s="3" t="s">
        <v>70</v>
      </c>
      <c r="E20" s="1" t="s">
        <v>16</v>
      </c>
      <c r="F20" s="1" t="s">
        <v>16</v>
      </c>
      <c r="G20" s="1" t="s">
        <v>16</v>
      </c>
      <c r="H20" s="1" t="s">
        <v>16</v>
      </c>
      <c r="J20" s="1" t="s">
        <v>16</v>
      </c>
      <c r="K20" s="1" t="s">
        <v>16</v>
      </c>
      <c r="M20" s="1" t="s">
        <v>16</v>
      </c>
      <c r="O20" s="1" t="s">
        <v>16</v>
      </c>
      <c r="P20" s="1" t="s">
        <v>17</v>
      </c>
      <c r="R20" s="1" t="s">
        <v>16</v>
      </c>
      <c r="S20" s="1" t="s">
        <v>16</v>
      </c>
      <c r="T20" s="1" t="s">
        <v>16</v>
      </c>
      <c r="U20" s="1" t="s">
        <v>16</v>
      </c>
      <c r="V20" s="1" t="s">
        <v>16</v>
      </c>
      <c r="W20" s="1" t="n">
        <f aca="false">COUNTIF(E20:V20,"P")</f>
        <v>13</v>
      </c>
      <c r="X20" s="6" t="n">
        <f aca="false">ROUND(W20*10/$Y$2,0)</f>
        <v>9</v>
      </c>
      <c r="Y20" s="1" t="s">
        <v>16</v>
      </c>
      <c r="Z20" s="1" t="s">
        <v>17</v>
      </c>
      <c r="AA20" s="1" t="s">
        <v>16</v>
      </c>
      <c r="AB20" s="1" t="s">
        <v>16</v>
      </c>
      <c r="AC20" s="1" t="s">
        <v>16</v>
      </c>
      <c r="AE20" s="1" t="s">
        <v>16</v>
      </c>
      <c r="AF20" s="1" t="s">
        <v>16</v>
      </c>
      <c r="AG20" s="1" t="s">
        <v>16</v>
      </c>
      <c r="AH20" s="1" t="s">
        <v>17</v>
      </c>
      <c r="AI20" s="1" t="s">
        <v>16</v>
      </c>
      <c r="AK20" s="1" t="s">
        <v>16</v>
      </c>
      <c r="AL20" s="1" t="s">
        <v>16</v>
      </c>
      <c r="AM20" s="3" t="s">
        <v>16</v>
      </c>
      <c r="AN20" s="3" t="s">
        <v>16</v>
      </c>
      <c r="AO20" s="3" t="s">
        <v>16</v>
      </c>
      <c r="AP20" s="3" t="s">
        <v>17</v>
      </c>
      <c r="AQ20" s="3" t="s">
        <v>16</v>
      </c>
      <c r="AR20" s="3" t="s">
        <v>16</v>
      </c>
      <c r="AS20" s="2" t="s">
        <v>16</v>
      </c>
      <c r="AT20" s="3" t="n">
        <f aca="false">COUNTIF(AM20:AR20,"P")</f>
        <v>5</v>
      </c>
      <c r="AU20" s="3" t="n">
        <f aca="false">COUNTIF(AM20:AR20,"M")</f>
        <v>0</v>
      </c>
      <c r="AV20" s="3" t="n">
        <f aca="false">COUNTIF(AM20:AR20,"A")</f>
        <v>1</v>
      </c>
      <c r="AW20" s="6" t="n">
        <f aca="false">ROUND((AT20+AU20/2+AV20/4)*10/6,0)</f>
        <v>9</v>
      </c>
    </row>
    <row r="21" customFormat="false" ht="15.65" hidden="false" customHeight="false" outlineLevel="0" collapsed="false">
      <c r="A21" s="1" t="n">
        <v>18</v>
      </c>
      <c r="B21" s="3" t="s">
        <v>71</v>
      </c>
      <c r="C21" s="3" t="s">
        <v>72</v>
      </c>
      <c r="D21" s="3" t="s">
        <v>73</v>
      </c>
      <c r="E21" s="1" t="s">
        <v>16</v>
      </c>
      <c r="F21" s="1" t="s">
        <v>16</v>
      </c>
      <c r="G21" s="1" t="s">
        <v>16</v>
      </c>
      <c r="H21" s="1" t="s">
        <v>16</v>
      </c>
      <c r="J21" s="1" t="s">
        <v>16</v>
      </c>
      <c r="K21" s="1" t="s">
        <v>16</v>
      </c>
      <c r="M21" s="1" t="s">
        <v>16</v>
      </c>
      <c r="O21" s="1" t="s">
        <v>16</v>
      </c>
      <c r="P21" s="1" t="s">
        <v>16</v>
      </c>
      <c r="R21" s="1" t="s">
        <v>16</v>
      </c>
      <c r="S21" s="1" t="s">
        <v>16</v>
      </c>
      <c r="T21" s="1" t="s">
        <v>16</v>
      </c>
      <c r="U21" s="1" t="s">
        <v>16</v>
      </c>
      <c r="V21" s="1" t="s">
        <v>16</v>
      </c>
      <c r="W21" s="1" t="n">
        <f aca="false">COUNTIF(E21:V21,"P")</f>
        <v>14</v>
      </c>
      <c r="X21" s="6" t="n">
        <f aca="false">ROUND(W21*10/$Y$2,0)</f>
        <v>10</v>
      </c>
      <c r="Y21" s="1" t="s">
        <v>16</v>
      </c>
      <c r="Z21" s="1" t="s">
        <v>17</v>
      </c>
      <c r="AA21" s="1" t="s">
        <v>16</v>
      </c>
      <c r="AB21" s="1" t="s">
        <v>17</v>
      </c>
      <c r="AC21" s="1" t="s">
        <v>16</v>
      </c>
      <c r="AE21" s="1" t="s">
        <v>16</v>
      </c>
      <c r="AF21" s="1" t="s">
        <v>16</v>
      </c>
      <c r="AG21" s="1" t="s">
        <v>16</v>
      </c>
      <c r="AH21" s="1" t="s">
        <v>16</v>
      </c>
      <c r="AI21" s="1" t="s">
        <v>16</v>
      </c>
      <c r="AK21" s="1" t="s">
        <v>16</v>
      </c>
      <c r="AL21" s="1" t="s">
        <v>16</v>
      </c>
      <c r="AM21" s="3" t="s">
        <v>16</v>
      </c>
      <c r="AN21" s="3" t="s">
        <v>16</v>
      </c>
      <c r="AO21" s="3" t="s">
        <v>16</v>
      </c>
      <c r="AP21" s="3" t="s">
        <v>16</v>
      </c>
      <c r="AQ21" s="3" t="s">
        <v>16</v>
      </c>
      <c r="AR21" s="3" t="s">
        <v>16</v>
      </c>
      <c r="AS21" s="2" t="s">
        <v>16</v>
      </c>
      <c r="AT21" s="3" t="n">
        <f aca="false">COUNTIF(AM21:AR21,"P")</f>
        <v>6</v>
      </c>
      <c r="AU21" s="3" t="n">
        <f aca="false">COUNTIF(AM21:AR21,"M")</f>
        <v>0</v>
      </c>
      <c r="AV21" s="3" t="n">
        <f aca="false">COUNTIF(AM21:AR21,"A")</f>
        <v>0</v>
      </c>
      <c r="AW21" s="6" t="n">
        <f aca="false">ROUND((AT21+AU21/2+AV21/4)*10/6,0)</f>
        <v>10</v>
      </c>
    </row>
    <row r="22" customFormat="false" ht="15.65" hidden="false" customHeight="false" outlineLevel="0" collapsed="false">
      <c r="A22" s="1" t="n">
        <v>19</v>
      </c>
      <c r="B22" s="3" t="s">
        <v>74</v>
      </c>
      <c r="C22" s="3" t="s">
        <v>75</v>
      </c>
      <c r="D22" s="3" t="s">
        <v>76</v>
      </c>
      <c r="E22" s="1" t="s">
        <v>16</v>
      </c>
      <c r="F22" s="1" t="s">
        <v>16</v>
      </c>
      <c r="G22" s="1" t="s">
        <v>16</v>
      </c>
      <c r="H22" s="1" t="s">
        <v>16</v>
      </c>
      <c r="J22" s="1" t="s">
        <v>16</v>
      </c>
      <c r="K22" s="1" t="s">
        <v>16</v>
      </c>
      <c r="M22" s="1" t="s">
        <v>16</v>
      </c>
      <c r="O22" s="1" t="s">
        <v>16</v>
      </c>
      <c r="P22" s="1" t="s">
        <v>17</v>
      </c>
      <c r="R22" s="1" t="s">
        <v>16</v>
      </c>
      <c r="S22" s="1" t="s">
        <v>16</v>
      </c>
      <c r="T22" s="1" t="s">
        <v>16</v>
      </c>
      <c r="U22" s="1" t="s">
        <v>16</v>
      </c>
      <c r="V22" s="1" t="s">
        <v>16</v>
      </c>
      <c r="W22" s="1" t="n">
        <f aca="false">COUNTIF(E22:V22,"P")</f>
        <v>13</v>
      </c>
      <c r="X22" s="6" t="n">
        <f aca="false">ROUND(W22*10/$Y$2,0)</f>
        <v>9</v>
      </c>
      <c r="Y22" s="1" t="s">
        <v>16</v>
      </c>
      <c r="Z22" s="1" t="s">
        <v>17</v>
      </c>
      <c r="AA22" s="1" t="s">
        <v>16</v>
      </c>
      <c r="AB22" s="1" t="s">
        <v>16</v>
      </c>
      <c r="AC22" s="1" t="s">
        <v>16</v>
      </c>
      <c r="AE22" s="1" t="s">
        <v>16</v>
      </c>
      <c r="AF22" s="1" t="s">
        <v>16</v>
      </c>
      <c r="AG22" s="1" t="s">
        <v>16</v>
      </c>
      <c r="AH22" s="1" t="s">
        <v>16</v>
      </c>
      <c r="AI22" s="1" t="s">
        <v>16</v>
      </c>
      <c r="AK22" s="1" t="s">
        <v>16</v>
      </c>
      <c r="AL22" s="1" t="s">
        <v>16</v>
      </c>
      <c r="AM22" s="3" t="s">
        <v>16</v>
      </c>
      <c r="AN22" s="3" t="s">
        <v>16</v>
      </c>
      <c r="AO22" s="3" t="s">
        <v>16</v>
      </c>
      <c r="AP22" s="3" t="s">
        <v>16</v>
      </c>
      <c r="AQ22" s="3" t="s">
        <v>16</v>
      </c>
      <c r="AR22" s="3" t="s">
        <v>16</v>
      </c>
      <c r="AS22" s="2" t="s">
        <v>17</v>
      </c>
      <c r="AT22" s="3" t="n">
        <f aca="false">COUNTIF(AM22:AR22,"P")</f>
        <v>6</v>
      </c>
      <c r="AU22" s="3" t="n">
        <f aca="false">COUNTIF(AM22:AR22,"M")</f>
        <v>0</v>
      </c>
      <c r="AV22" s="3" t="n">
        <f aca="false">COUNTIF(AM22:AR22,"A")</f>
        <v>0</v>
      </c>
      <c r="AW22" s="6" t="n">
        <f aca="false">ROUND((AT22+AU22/2+AV22/4)*10/6,0)</f>
        <v>10</v>
      </c>
    </row>
    <row r="23" customFormat="false" ht="15.65" hidden="false" customHeight="false" outlineLevel="0" collapsed="false">
      <c r="A23" s="1" t="n">
        <v>20</v>
      </c>
      <c r="B23" s="3" t="s">
        <v>77</v>
      </c>
      <c r="C23" s="3" t="s">
        <v>78</v>
      </c>
      <c r="D23" s="3" t="s">
        <v>79</v>
      </c>
      <c r="E23" s="1" t="s">
        <v>17</v>
      </c>
      <c r="F23" s="1" t="s">
        <v>16</v>
      </c>
      <c r="G23" s="1" t="s">
        <v>16</v>
      </c>
      <c r="H23" s="1" t="s">
        <v>17</v>
      </c>
      <c r="I23" s="1" t="s">
        <v>80</v>
      </c>
      <c r="J23" s="1" t="s">
        <v>16</v>
      </c>
      <c r="K23" s="1" t="s">
        <v>16</v>
      </c>
      <c r="M23" s="1" t="s">
        <v>17</v>
      </c>
      <c r="O23" s="1" t="s">
        <v>16</v>
      </c>
      <c r="P23" s="1" t="s">
        <v>17</v>
      </c>
      <c r="R23" s="1" t="s">
        <v>17</v>
      </c>
      <c r="S23" s="1" t="s">
        <v>16</v>
      </c>
      <c r="T23" s="1" t="s">
        <v>16</v>
      </c>
      <c r="U23" s="1" t="s">
        <v>16</v>
      </c>
      <c r="V23" s="1" t="s">
        <v>16</v>
      </c>
      <c r="W23" s="1" t="n">
        <f aca="false">COUNTIF(E23:V23,"P")</f>
        <v>9</v>
      </c>
      <c r="X23" s="6" t="n">
        <f aca="false">ROUND(W23*10/$Y$2,0)</f>
        <v>6</v>
      </c>
      <c r="Y23" s="1" t="s">
        <v>17</v>
      </c>
      <c r="Z23" s="1" t="s">
        <v>16</v>
      </c>
      <c r="AA23" s="1" t="s">
        <v>16</v>
      </c>
      <c r="AB23" s="1" t="s">
        <v>16</v>
      </c>
      <c r="AC23" s="1" t="s">
        <v>16</v>
      </c>
      <c r="AE23" s="1" t="s">
        <v>16</v>
      </c>
      <c r="AF23" s="1" t="s">
        <v>17</v>
      </c>
      <c r="AG23" s="1" t="s">
        <v>16</v>
      </c>
      <c r="AH23" s="1" t="s">
        <v>16</v>
      </c>
      <c r="AI23" s="1" t="s">
        <v>16</v>
      </c>
      <c r="AK23" s="1" t="s">
        <v>16</v>
      </c>
      <c r="AL23" s="1" t="s">
        <v>16</v>
      </c>
      <c r="AM23" s="3" t="s">
        <v>17</v>
      </c>
      <c r="AN23" s="3" t="s">
        <v>16</v>
      </c>
      <c r="AO23" s="3" t="s">
        <v>16</v>
      </c>
      <c r="AP23" s="3" t="s">
        <v>16</v>
      </c>
      <c r="AQ23" s="3" t="s">
        <v>16</v>
      </c>
      <c r="AR23" s="3" t="s">
        <v>16</v>
      </c>
      <c r="AS23" s="2" t="s">
        <v>16</v>
      </c>
      <c r="AT23" s="3" t="n">
        <f aca="false">COUNTIF(AM23:AR23,"P")</f>
        <v>5</v>
      </c>
      <c r="AU23" s="3" t="n">
        <f aca="false">COUNTIF(AM23:AR23,"M")</f>
        <v>0</v>
      </c>
      <c r="AV23" s="3" t="n">
        <f aca="false">COUNTIF(AM23:AR23,"A")</f>
        <v>1</v>
      </c>
      <c r="AW23" s="6" t="n">
        <f aca="false">ROUND((AT23+AU23/2+AV23/4)*10/6,0)</f>
        <v>9</v>
      </c>
    </row>
    <row r="24" customFormat="false" ht="15.65" hidden="false" customHeight="false" outlineLevel="0" collapsed="false">
      <c r="A24" s="1" t="n">
        <v>21</v>
      </c>
      <c r="B24" s="3" t="s">
        <v>81</v>
      </c>
      <c r="C24" s="3" t="s">
        <v>82</v>
      </c>
      <c r="D24" s="3" t="s">
        <v>83</v>
      </c>
      <c r="E24" s="1" t="s">
        <v>16</v>
      </c>
      <c r="F24" s="1" t="s">
        <v>16</v>
      </c>
      <c r="G24" s="1" t="s">
        <v>16</v>
      </c>
      <c r="H24" s="1" t="s">
        <v>16</v>
      </c>
      <c r="J24" s="1" t="s">
        <v>16</v>
      </c>
      <c r="K24" s="1" t="s">
        <v>16</v>
      </c>
      <c r="M24" s="1" t="s">
        <v>16</v>
      </c>
      <c r="O24" s="1" t="s">
        <v>16</v>
      </c>
      <c r="P24" s="1" t="s">
        <v>16</v>
      </c>
      <c r="R24" s="1" t="s">
        <v>16</v>
      </c>
      <c r="S24" s="1" t="s">
        <v>16</v>
      </c>
      <c r="T24" s="1" t="s">
        <v>16</v>
      </c>
      <c r="U24" s="1" t="s">
        <v>16</v>
      </c>
      <c r="V24" s="1" t="s">
        <v>16</v>
      </c>
      <c r="W24" s="1" t="n">
        <f aca="false">COUNTIF(E24:V24,"P")</f>
        <v>14</v>
      </c>
      <c r="X24" s="6" t="n">
        <f aca="false">ROUND(W24*10/$Y$2,0)</f>
        <v>10</v>
      </c>
      <c r="Y24" s="1" t="s">
        <v>16</v>
      </c>
      <c r="Z24" s="1" t="s">
        <v>17</v>
      </c>
      <c r="AA24" s="1" t="s">
        <v>16</v>
      </c>
      <c r="AB24" s="1" t="s">
        <v>16</v>
      </c>
      <c r="AC24" s="1" t="s">
        <v>16</v>
      </c>
      <c r="AE24" s="1" t="s">
        <v>16</v>
      </c>
      <c r="AF24" s="1" t="s">
        <v>16</v>
      </c>
      <c r="AG24" s="1" t="s">
        <v>16</v>
      </c>
      <c r="AH24" s="1" t="s">
        <v>16</v>
      </c>
      <c r="AI24" s="1" t="s">
        <v>16</v>
      </c>
      <c r="AK24" s="1" t="s">
        <v>16</v>
      </c>
      <c r="AL24" s="1" t="s">
        <v>16</v>
      </c>
      <c r="AM24" s="3" t="s">
        <v>16</v>
      </c>
      <c r="AN24" s="3" t="s">
        <v>16</v>
      </c>
      <c r="AO24" s="3" t="s">
        <v>16</v>
      </c>
      <c r="AP24" s="3" t="s">
        <v>16</v>
      </c>
      <c r="AQ24" s="3" t="s">
        <v>16</v>
      </c>
      <c r="AR24" s="3" t="s">
        <v>16</v>
      </c>
      <c r="AS24" s="2" t="s">
        <v>17</v>
      </c>
      <c r="AT24" s="3" t="n">
        <f aca="false">COUNTIF(AM24:AR24,"P")</f>
        <v>6</v>
      </c>
      <c r="AU24" s="3" t="n">
        <f aca="false">COUNTIF(AM24:AR24,"M")</f>
        <v>0</v>
      </c>
      <c r="AV24" s="3" t="n">
        <f aca="false">COUNTIF(AM24:AR24,"A")</f>
        <v>0</v>
      </c>
      <c r="AW24" s="6" t="n">
        <f aca="false">ROUND((AT24+AU24/2+AV24/4)*10/6,0)</f>
        <v>10</v>
      </c>
    </row>
    <row r="25" customFormat="false" ht="15.65" hidden="false" customHeight="false" outlineLevel="0" collapsed="false">
      <c r="A25" s="1" t="n">
        <v>22</v>
      </c>
      <c r="B25" s="3" t="s">
        <v>84</v>
      </c>
      <c r="C25" s="3" t="s">
        <v>85</v>
      </c>
      <c r="D25" s="3" t="s">
        <v>86</v>
      </c>
      <c r="E25" s="1" t="s">
        <v>16</v>
      </c>
      <c r="F25" s="1" t="s">
        <v>16</v>
      </c>
      <c r="G25" s="1" t="s">
        <v>16</v>
      </c>
      <c r="H25" s="1" t="s">
        <v>16</v>
      </c>
      <c r="J25" s="1" t="s">
        <v>16</v>
      </c>
      <c r="K25" s="1" t="s">
        <v>16</v>
      </c>
      <c r="M25" s="1" t="s">
        <v>16</v>
      </c>
      <c r="N25" s="1" t="s">
        <v>57</v>
      </c>
      <c r="O25" s="1" t="s">
        <v>16</v>
      </c>
      <c r="P25" s="1" t="s">
        <v>16</v>
      </c>
      <c r="R25" s="1" t="s">
        <v>16</v>
      </c>
      <c r="S25" s="1" t="s">
        <v>16</v>
      </c>
      <c r="T25" s="1" t="s">
        <v>16</v>
      </c>
      <c r="U25" s="1" t="s">
        <v>16</v>
      </c>
      <c r="V25" s="1" t="s">
        <v>16</v>
      </c>
      <c r="W25" s="1" t="n">
        <f aca="false">COUNTIF(E25:V25,"P")</f>
        <v>14</v>
      </c>
      <c r="X25" s="6" t="n">
        <f aca="false">ROUND(W25*10/$Y$2,0)</f>
        <v>10</v>
      </c>
      <c r="Y25" s="1" t="s">
        <v>16</v>
      </c>
      <c r="Z25" s="1" t="s">
        <v>17</v>
      </c>
      <c r="AA25" s="1" t="s">
        <v>16</v>
      </c>
      <c r="AB25" s="1" t="s">
        <v>16</v>
      </c>
      <c r="AC25" s="1" t="s">
        <v>16</v>
      </c>
      <c r="AE25" s="1" t="s">
        <v>16</v>
      </c>
      <c r="AF25" s="1" t="s">
        <v>16</v>
      </c>
      <c r="AG25" s="1" t="s">
        <v>16</v>
      </c>
      <c r="AH25" s="1" t="s">
        <v>16</v>
      </c>
      <c r="AI25" s="1" t="s">
        <v>16</v>
      </c>
      <c r="AK25" s="1" t="s">
        <v>16</v>
      </c>
      <c r="AL25" s="1" t="s">
        <v>16</v>
      </c>
      <c r="AM25" s="3" t="s">
        <v>16</v>
      </c>
      <c r="AN25" s="3" t="s">
        <v>16</v>
      </c>
      <c r="AO25" s="3" t="s">
        <v>16</v>
      </c>
      <c r="AP25" s="3" t="s">
        <v>16</v>
      </c>
      <c r="AQ25" s="3" t="s">
        <v>16</v>
      </c>
      <c r="AR25" s="3" t="s">
        <v>16</v>
      </c>
      <c r="AS25" s="2" t="s">
        <v>16</v>
      </c>
      <c r="AT25" s="3" t="n">
        <f aca="false">COUNTIF(AM25:AR25,"P")</f>
        <v>6</v>
      </c>
      <c r="AU25" s="3" t="n">
        <f aca="false">COUNTIF(AM25:AR25,"M")</f>
        <v>0</v>
      </c>
      <c r="AV25" s="3" t="n">
        <f aca="false">COUNTIF(AM25:AR25,"A")</f>
        <v>0</v>
      </c>
      <c r="AW25" s="6" t="n">
        <f aca="false">ROUND((AT25+AU25/2+AV25/4)*10/6,0)</f>
        <v>10</v>
      </c>
    </row>
    <row r="26" customFormat="false" ht="15.65" hidden="false" customHeight="false" outlineLevel="0" collapsed="false">
      <c r="A26" s="1" t="n">
        <v>23</v>
      </c>
      <c r="B26" s="3" t="s">
        <v>87</v>
      </c>
      <c r="C26" s="3" t="s">
        <v>88</v>
      </c>
      <c r="D26" s="3" t="s">
        <v>89</v>
      </c>
      <c r="E26" s="1" t="s">
        <v>16</v>
      </c>
      <c r="F26" s="1" t="s">
        <v>16</v>
      </c>
      <c r="G26" s="1" t="s">
        <v>16</v>
      </c>
      <c r="H26" s="1" t="s">
        <v>16</v>
      </c>
      <c r="J26" s="1" t="s">
        <v>16</v>
      </c>
      <c r="K26" s="1" t="s">
        <v>16</v>
      </c>
      <c r="M26" s="1" t="s">
        <v>16</v>
      </c>
      <c r="O26" s="1" t="s">
        <v>16</v>
      </c>
      <c r="P26" s="1" t="s">
        <v>16</v>
      </c>
      <c r="R26" s="1" t="s">
        <v>16</v>
      </c>
      <c r="S26" s="1" t="s">
        <v>16</v>
      </c>
      <c r="T26" s="1" t="s">
        <v>16</v>
      </c>
      <c r="U26" s="1" t="s">
        <v>16</v>
      </c>
      <c r="V26" s="1" t="s">
        <v>16</v>
      </c>
      <c r="W26" s="1" t="n">
        <f aca="false">COUNTIF(E26:V26,"P")</f>
        <v>14</v>
      </c>
      <c r="X26" s="6" t="n">
        <f aca="false">ROUND(W26*10/$Y$2,0)</f>
        <v>10</v>
      </c>
      <c r="Y26" s="1" t="s">
        <v>16</v>
      </c>
      <c r="Z26" s="1" t="s">
        <v>17</v>
      </c>
      <c r="AA26" s="1" t="s">
        <v>16</v>
      </c>
      <c r="AB26" s="1" t="s">
        <v>16</v>
      </c>
      <c r="AC26" s="1" t="s">
        <v>16</v>
      </c>
      <c r="AE26" s="1" t="s">
        <v>17</v>
      </c>
      <c r="AF26" s="1" t="s">
        <v>16</v>
      </c>
      <c r="AG26" s="1" t="s">
        <v>17</v>
      </c>
      <c r="AH26" s="1" t="s">
        <v>16</v>
      </c>
      <c r="AI26" s="1" t="s">
        <v>16</v>
      </c>
      <c r="AK26" s="1" t="s">
        <v>16</v>
      </c>
      <c r="AL26" s="1" t="s">
        <v>16</v>
      </c>
      <c r="AM26" s="3" t="s">
        <v>16</v>
      </c>
      <c r="AN26" s="3" t="s">
        <v>16</v>
      </c>
      <c r="AO26" s="3" t="s">
        <v>16</v>
      </c>
      <c r="AP26" s="3" t="s">
        <v>16</v>
      </c>
      <c r="AQ26" s="3" t="s">
        <v>16</v>
      </c>
      <c r="AR26" s="3" t="s">
        <v>16</v>
      </c>
      <c r="AS26" s="2" t="s">
        <v>16</v>
      </c>
      <c r="AT26" s="3" t="n">
        <f aca="false">COUNTIF(AM26:AR26,"P")</f>
        <v>6</v>
      </c>
      <c r="AU26" s="3" t="n">
        <f aca="false">COUNTIF(AM26:AR26,"M")</f>
        <v>0</v>
      </c>
      <c r="AV26" s="3" t="n">
        <f aca="false">COUNTIF(AM26:AR26,"A")</f>
        <v>0</v>
      </c>
      <c r="AW26" s="6" t="n">
        <f aca="false">ROUND((AT26+AU26/2+AV26/4)*10/6,0)</f>
        <v>10</v>
      </c>
    </row>
    <row r="27" customFormat="false" ht="15.65" hidden="false" customHeight="false" outlineLevel="0" collapsed="false">
      <c r="A27" s="1" t="n">
        <v>24</v>
      </c>
      <c r="B27" s="3" t="s">
        <v>90</v>
      </c>
      <c r="C27" s="3" t="s">
        <v>91</v>
      </c>
      <c r="D27" s="3" t="s">
        <v>92</v>
      </c>
      <c r="E27" s="1" t="s">
        <v>16</v>
      </c>
      <c r="F27" s="1" t="s">
        <v>16</v>
      </c>
      <c r="G27" s="1" t="s">
        <v>16</v>
      </c>
      <c r="H27" s="1" t="s">
        <v>16</v>
      </c>
      <c r="I27" s="1" t="s">
        <v>93</v>
      </c>
      <c r="J27" s="1" t="s">
        <v>16</v>
      </c>
      <c r="K27" s="1" t="s">
        <v>16</v>
      </c>
      <c r="M27" s="1" t="s">
        <v>16</v>
      </c>
      <c r="O27" s="1" t="s">
        <v>16</v>
      </c>
      <c r="P27" s="1" t="s">
        <v>16</v>
      </c>
      <c r="R27" s="1" t="s">
        <v>16</v>
      </c>
      <c r="S27" s="1" t="s">
        <v>16</v>
      </c>
      <c r="T27" s="1" t="s">
        <v>16</v>
      </c>
      <c r="U27" s="1" t="s">
        <v>16</v>
      </c>
      <c r="V27" s="1" t="s">
        <v>16</v>
      </c>
      <c r="W27" s="1" t="n">
        <f aca="false">COUNTIF(E27:V27,"P")</f>
        <v>14</v>
      </c>
      <c r="X27" s="6" t="n">
        <f aca="false">ROUND(W27*10/$Y$2,0)</f>
        <v>10</v>
      </c>
      <c r="Y27" s="1" t="s">
        <v>16</v>
      </c>
      <c r="Z27" s="1" t="s">
        <v>16</v>
      </c>
      <c r="AA27" s="1" t="s">
        <v>16</v>
      </c>
      <c r="AB27" s="1" t="s">
        <v>16</v>
      </c>
      <c r="AC27" s="1" t="s">
        <v>17</v>
      </c>
      <c r="AE27" s="1" t="s">
        <v>16</v>
      </c>
      <c r="AF27" s="1" t="s">
        <v>94</v>
      </c>
      <c r="AG27" s="1" t="s">
        <v>16</v>
      </c>
      <c r="AH27" s="1" t="s">
        <v>16</v>
      </c>
      <c r="AI27" s="1" t="s">
        <v>16</v>
      </c>
      <c r="AK27" s="1" t="s">
        <v>16</v>
      </c>
      <c r="AL27" s="1" t="s">
        <v>16</v>
      </c>
      <c r="AM27" s="3" t="s">
        <v>67</v>
      </c>
      <c r="AN27" s="3" t="s">
        <v>16</v>
      </c>
      <c r="AO27" s="3" t="s">
        <v>16</v>
      </c>
      <c r="AP27" s="3" t="s">
        <v>16</v>
      </c>
      <c r="AQ27" s="3" t="s">
        <v>16</v>
      </c>
      <c r="AR27" s="3" t="s">
        <v>16</v>
      </c>
      <c r="AS27" s="2" t="s">
        <v>16</v>
      </c>
      <c r="AT27" s="3" t="n">
        <f aca="false">COUNTIF(AM27:AR27,"P")</f>
        <v>6</v>
      </c>
      <c r="AU27" s="3" t="n">
        <f aca="false">COUNTIF(AM27:AR27,"M")</f>
        <v>0</v>
      </c>
      <c r="AV27" s="3" t="n">
        <f aca="false">COUNTIF(AM27:AR27,"A")</f>
        <v>0</v>
      </c>
      <c r="AW27" s="6" t="n">
        <f aca="false">ROUND((AT27+AU27/2+AV27/4)*10/6,0)</f>
        <v>10</v>
      </c>
    </row>
    <row r="28" customFormat="false" ht="15.65" hidden="false" customHeight="false" outlineLevel="0" collapsed="false">
      <c r="A28" s="1" t="n">
        <v>25</v>
      </c>
      <c r="B28" s="3" t="s">
        <v>95</v>
      </c>
      <c r="C28" s="3" t="s">
        <v>96</v>
      </c>
      <c r="D28" s="3" t="s">
        <v>97</v>
      </c>
      <c r="E28" s="1" t="s">
        <v>16</v>
      </c>
      <c r="F28" s="1" t="s">
        <v>16</v>
      </c>
      <c r="G28" s="1" t="s">
        <v>17</v>
      </c>
      <c r="H28" s="1" t="s">
        <v>16</v>
      </c>
      <c r="J28" s="1" t="s">
        <v>16</v>
      </c>
      <c r="K28" s="1" t="s">
        <v>16</v>
      </c>
      <c r="M28" s="1" t="s">
        <v>16</v>
      </c>
      <c r="O28" s="1" t="s">
        <v>16</v>
      </c>
      <c r="P28" s="1" t="s">
        <v>16</v>
      </c>
      <c r="R28" s="1" t="s">
        <v>17</v>
      </c>
      <c r="S28" s="1" t="s">
        <v>16</v>
      </c>
      <c r="T28" s="1" t="s">
        <v>16</v>
      </c>
      <c r="U28" s="1" t="s">
        <v>16</v>
      </c>
      <c r="V28" s="1" t="s">
        <v>16</v>
      </c>
      <c r="W28" s="1" t="n">
        <f aca="false">COUNTIF(E28:V28,"P")</f>
        <v>12</v>
      </c>
      <c r="X28" s="6" t="n">
        <f aca="false">ROUND(W28*10/$Y$2,0)</f>
        <v>9</v>
      </c>
      <c r="Y28" s="1" t="s">
        <v>16</v>
      </c>
      <c r="Z28" s="1" t="s">
        <v>17</v>
      </c>
      <c r="AA28" s="1" t="s">
        <v>16</v>
      </c>
      <c r="AB28" s="1" t="s">
        <v>16</v>
      </c>
      <c r="AC28" s="1" t="s">
        <v>16</v>
      </c>
      <c r="AE28" s="1" t="s">
        <v>16</v>
      </c>
      <c r="AF28" s="1" t="s">
        <v>16</v>
      </c>
      <c r="AG28" s="1" t="s">
        <v>16</v>
      </c>
      <c r="AH28" s="1" t="s">
        <v>16</v>
      </c>
      <c r="AI28" s="1" t="s">
        <v>16</v>
      </c>
      <c r="AK28" s="1" t="s">
        <v>16</v>
      </c>
      <c r="AL28" s="1" t="s">
        <v>16</v>
      </c>
      <c r="AM28" s="3" t="s">
        <v>16</v>
      </c>
      <c r="AN28" s="3" t="s">
        <v>16</v>
      </c>
      <c r="AO28" s="3" t="s">
        <v>17</v>
      </c>
      <c r="AP28" s="3" t="s">
        <v>16</v>
      </c>
      <c r="AQ28" s="3" t="s">
        <v>16</v>
      </c>
      <c r="AR28" s="3" t="s">
        <v>16</v>
      </c>
      <c r="AS28" s="2" t="s">
        <v>16</v>
      </c>
      <c r="AT28" s="3" t="n">
        <f aca="false">COUNTIF(AM28:AR28,"P")</f>
        <v>5</v>
      </c>
      <c r="AU28" s="3" t="n">
        <f aca="false">COUNTIF(AM28:AR28,"M")</f>
        <v>0</v>
      </c>
      <c r="AV28" s="3" t="n">
        <f aca="false">COUNTIF(AM28:AR28,"A")</f>
        <v>1</v>
      </c>
      <c r="AW28" s="6" t="n">
        <f aca="false">ROUND((AT28+AU28/2+AV28/4)*10/6,0)</f>
        <v>9</v>
      </c>
    </row>
    <row r="29" customFormat="false" ht="15.65" hidden="false" customHeight="false" outlineLevel="0" collapsed="false">
      <c r="A29" s="1" t="n">
        <v>26</v>
      </c>
      <c r="B29" s="3" t="s">
        <v>98</v>
      </c>
      <c r="C29" s="3" t="s">
        <v>99</v>
      </c>
      <c r="D29" s="3" t="s">
        <v>100</v>
      </c>
      <c r="E29" s="1" t="s">
        <v>16</v>
      </c>
      <c r="F29" s="1" t="s">
        <v>16</v>
      </c>
      <c r="G29" s="1" t="s">
        <v>17</v>
      </c>
      <c r="H29" s="1" t="s">
        <v>16</v>
      </c>
      <c r="J29" s="1" t="s">
        <v>16</v>
      </c>
      <c r="K29" s="1" t="s">
        <v>16</v>
      </c>
      <c r="M29" s="1" t="s">
        <v>16</v>
      </c>
      <c r="O29" s="1" t="s">
        <v>16</v>
      </c>
      <c r="P29" s="1" t="s">
        <v>17</v>
      </c>
      <c r="R29" s="1" t="s">
        <v>16</v>
      </c>
      <c r="S29" s="1" t="s">
        <v>16</v>
      </c>
      <c r="T29" s="1" t="s">
        <v>16</v>
      </c>
      <c r="U29" s="1" t="s">
        <v>16</v>
      </c>
      <c r="V29" s="1" t="s">
        <v>16</v>
      </c>
      <c r="W29" s="1" t="n">
        <f aca="false">COUNTIF(E29:V29,"P")</f>
        <v>12</v>
      </c>
      <c r="X29" s="6" t="n">
        <f aca="false">ROUND(W29*10/$Y$2,0)</f>
        <v>9</v>
      </c>
      <c r="Y29" s="1" t="s">
        <v>17</v>
      </c>
      <c r="Z29" s="1" t="s">
        <v>16</v>
      </c>
      <c r="AA29" s="1" t="s">
        <v>16</v>
      </c>
      <c r="AB29" s="1" t="s">
        <v>16</v>
      </c>
      <c r="AC29" s="1" t="s">
        <v>16</v>
      </c>
      <c r="AE29" s="1" t="s">
        <v>16</v>
      </c>
      <c r="AF29" s="1" t="s">
        <v>16</v>
      </c>
      <c r="AG29" s="1" t="s">
        <v>16</v>
      </c>
      <c r="AH29" s="1" t="s">
        <v>16</v>
      </c>
      <c r="AI29" s="1" t="s">
        <v>16</v>
      </c>
      <c r="AJ29" s="1" t="s">
        <v>38</v>
      </c>
      <c r="AK29" s="1" t="s">
        <v>16</v>
      </c>
      <c r="AL29" s="1" t="s">
        <v>16</v>
      </c>
      <c r="AM29" s="3" t="s">
        <v>17</v>
      </c>
      <c r="AN29" s="3" t="s">
        <v>16</v>
      </c>
      <c r="AO29" s="3" t="s">
        <v>16</v>
      </c>
      <c r="AP29" s="3" t="s">
        <v>16</v>
      </c>
      <c r="AQ29" s="3" t="s">
        <v>17</v>
      </c>
      <c r="AR29" s="3" t="s">
        <v>16</v>
      </c>
      <c r="AS29" s="2" t="s">
        <v>17</v>
      </c>
      <c r="AT29" s="3" t="n">
        <f aca="false">COUNTIF(AM29:AR29,"P")</f>
        <v>4</v>
      </c>
      <c r="AU29" s="3" t="n">
        <f aca="false">COUNTIF(AM29:AR29,"M")</f>
        <v>0</v>
      </c>
      <c r="AV29" s="3" t="n">
        <f aca="false">COUNTIF(AM29:AR29,"A")</f>
        <v>2</v>
      </c>
      <c r="AW29" s="6" t="n">
        <f aca="false">ROUND((AT29+AU29/2+AV29/4)*10/6,0)</f>
        <v>8</v>
      </c>
    </row>
    <row r="30" customFormat="false" ht="15" hidden="false" customHeight="false" outlineLevel="0" collapsed="false">
      <c r="E30" s="1" t="n">
        <f aca="false">COUNTIF(E4:E29,"P")</f>
        <v>23</v>
      </c>
      <c r="F30" s="1" t="n">
        <f aca="false">COUNTIF(F4:F29,"P")</f>
        <v>25</v>
      </c>
      <c r="G30" s="1" t="n">
        <f aca="false">COUNTIF(G4:G29,"P")</f>
        <v>21</v>
      </c>
      <c r="H30" s="1" t="n">
        <f aca="false">COUNTIF(H4:H29,"P")</f>
        <v>24</v>
      </c>
      <c r="J30" s="1" t="n">
        <f aca="false">COUNTIF(J4:J29,"P")</f>
        <v>25</v>
      </c>
      <c r="K30" s="1" t="n">
        <f aca="false">COUNTIF(K4:K29,"P")</f>
        <v>24</v>
      </c>
      <c r="M30" s="1" t="n">
        <f aca="false">COUNTIF(M4:M29,"P")</f>
        <v>25</v>
      </c>
      <c r="O30" s="1" t="n">
        <f aca="false">COUNTIF(O4:O29,"P")</f>
        <v>21</v>
      </c>
      <c r="P30" s="1" t="n">
        <f aca="false">COUNTIF(P4:P29,"P")</f>
        <v>18</v>
      </c>
      <c r="R30" s="1" t="n">
        <f aca="false">COUNTIF(R4:R29,"P")</f>
        <v>23</v>
      </c>
      <c r="S30" s="1" t="n">
        <f aca="false">COUNTIF(S4:S29,"P")</f>
        <v>24</v>
      </c>
      <c r="T30" s="1" t="n">
        <f aca="false">COUNTIF(T4:T29,"P")</f>
        <v>24</v>
      </c>
      <c r="U30" s="1" t="n">
        <f aca="false">COUNTIF(U4:U29,"P")</f>
        <v>25</v>
      </c>
      <c r="V30" s="1" t="n">
        <f aca="false">COUNTIF(V4:V29,"P")</f>
        <v>25</v>
      </c>
      <c r="Y30" s="1" t="n">
        <f aca="false">COUNTIF(Y4:Y29,"P")</f>
        <v>21</v>
      </c>
      <c r="Z30" s="1" t="n">
        <f aca="false">COUNTIF(Z4:Z29,"P")</f>
        <v>7</v>
      </c>
      <c r="AA30" s="1" t="n">
        <f aca="false">COUNTIF(AA4:AA29,"P")</f>
        <v>23</v>
      </c>
      <c r="AB30" s="1" t="n">
        <f aca="false">COUNTIF(AB4:AB29,"P")</f>
        <v>21</v>
      </c>
      <c r="AC30" s="1" t="n">
        <f aca="false">COUNTIF(AC4:AC29,"P")</f>
        <v>25</v>
      </c>
      <c r="AE30" s="1" t="n">
        <f aca="false">COUNTIF(AE4:AE29,"P")</f>
        <v>23</v>
      </c>
      <c r="AF30" s="1" t="n">
        <f aca="false">COUNTIF(AF4:AF29,"P")</f>
        <v>23</v>
      </c>
      <c r="AG30" s="1" t="n">
        <f aca="false">COUNTIF(AG4:AG29,"P")</f>
        <v>24</v>
      </c>
      <c r="AH30" s="1" t="n">
        <f aca="false">COUNTIF(AH4:AH29,"P")</f>
        <v>23</v>
      </c>
      <c r="AI30" s="1" t="n">
        <f aca="false">COUNTIF(AI4:AI29,"P")</f>
        <v>26</v>
      </c>
      <c r="AK30" s="1" t="n">
        <f aca="false">COUNTIF(AK4:AK29,"P")</f>
        <v>24</v>
      </c>
      <c r="AL30" s="1" t="n">
        <f aca="false">COUNTIF(AL4:AL29,"P")</f>
        <v>25</v>
      </c>
      <c r="AM30" s="1" t="n">
        <f aca="false">COUNTIF(AM4:AM29,"P")</f>
        <v>20</v>
      </c>
      <c r="AN30" s="1" t="n">
        <f aca="false">COUNTIF(AN4:AN29,"P")</f>
        <v>24</v>
      </c>
      <c r="AO30" s="1" t="n">
        <f aca="false">COUNTIF(AO4:AO29,"P")</f>
        <v>23</v>
      </c>
      <c r="AP30" s="1" t="n">
        <f aca="false">COUNTIF(AP4:AP29,"P")</f>
        <v>24</v>
      </c>
      <c r="AQ30" s="1" t="n">
        <f aca="false">COUNTIF(AQ4:AQ29,"P")</f>
        <v>22</v>
      </c>
      <c r="AR30" s="1" t="n">
        <f aca="false">COUNTIF(AR4:AR29,"P")</f>
        <v>25</v>
      </c>
      <c r="AS30" s="2" t="n">
        <f aca="false">COUNTIF(AS4:AS29,"P")</f>
        <v>17</v>
      </c>
    </row>
  </sheetData>
  <conditionalFormatting sqref="X4:X29">
    <cfRule type="cellIs" priority="2" operator="greaterThan" aboveAverage="0" equalAverage="0" bottom="0" percent="0" rank="0" text="" dxfId="0">
      <formula>6</formula>
    </cfRule>
  </conditionalFormatting>
  <conditionalFormatting sqref="AX4:AX29">
    <cfRule type="cellIs" priority="3" operator="greaterThan" aboveAverage="0" equalAverage="0" bottom="0" percent="0" rank="0" text="" dxfId="1">
      <formula>6</formula>
    </cfRule>
    <cfRule type="cellIs" priority="4" operator="between" aboveAverage="0" equalAverage="0" bottom="0" percent="0" rank="0" text="" dxfId="2">
      <formula>4</formula>
      <formula>6</formula>
    </cfRule>
    <cfRule type="cellIs" priority="5" operator="lessThan" aboveAverage="0" equalAverage="0" bottom="0" percent="0" rank="0" text="" dxfId="3">
      <formula>4</formula>
    </cfRule>
  </conditionalFormatting>
  <conditionalFormatting sqref="AW4:AW29">
    <cfRule type="cellIs" priority="6" operator="greaterThan" aboveAverage="0" equalAverage="0" bottom="0" percent="0" rank="0" text="" dxfId="1">
      <formula>6</formula>
    </cfRule>
    <cfRule type="cellIs" priority="7" operator="between" aboveAverage="0" equalAverage="0" bottom="0" percent="0" rank="0" text="" dxfId="2">
      <formula>4</formula>
      <formula>6</formula>
    </cfRule>
    <cfRule type="cellIs" priority="8" operator="lessThan" aboveAverage="0" equalAverage="0" bottom="0" percent="0" rank="0" text="" dxfId="4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D26" activeCellId="0" sqref="AD26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9.54"/>
    <col collapsed="false" customWidth="false" hidden="true" outlineLevel="0" max="16" min="3" style="1" width="9.75"/>
    <col collapsed="false" customWidth="false" hidden="false" outlineLevel="0" max="17" min="17" style="1" width="9.75"/>
    <col collapsed="false" customWidth="true" hidden="false" outlineLevel="0" max="18" min="18" style="1" width="18.75"/>
    <col collapsed="false" customWidth="false" hidden="true" outlineLevel="0" max="20" min="19" style="1" width="9.75"/>
    <col collapsed="false" customWidth="false" hidden="true" outlineLevel="0" max="21" min="21" style="1" width="9.75"/>
    <col collapsed="false" customWidth="false" hidden="true" outlineLevel="0" max="23" min="22" style="1" width="9.75"/>
    <col collapsed="false" customWidth="false" hidden="true" outlineLevel="0" max="27" min="24" style="1" width="9.75"/>
    <col collapsed="false" customWidth="true" hidden="false" outlineLevel="0" max="28" min="28" style="1" width="9.86"/>
    <col collapsed="false" customWidth="true" hidden="false" outlineLevel="0" max="31" min="31" style="0" width="26.71"/>
    <col collapsed="false" customWidth="true" hidden="false" outlineLevel="0" max="16384" min="16384" style="1" width="10.58"/>
  </cols>
  <sheetData>
    <row r="1" customFormat="false" ht="15" hidden="false" customHeight="false" outlineLevel="0" collapsed="false">
      <c r="B1" s="3"/>
      <c r="Q1" s="1" t="s">
        <v>101</v>
      </c>
      <c r="S1" s="4"/>
      <c r="T1" s="4"/>
      <c r="U1" s="4"/>
      <c r="V1" s="4"/>
      <c r="W1" s="3"/>
      <c r="X1" s="3"/>
      <c r="Y1" s="3"/>
      <c r="Z1" s="3"/>
      <c r="AA1" s="3"/>
      <c r="AB1" s="3" t="s">
        <v>102</v>
      </c>
    </row>
    <row r="2" customFormat="false" ht="15" hidden="false" customHeight="false" outlineLevel="0" collapsed="false">
      <c r="A2" s="1" t="s">
        <v>4</v>
      </c>
      <c r="B2" s="3" t="s">
        <v>5</v>
      </c>
      <c r="C2" s="1" t="s">
        <v>103</v>
      </c>
      <c r="D2" s="1" t="s">
        <v>104</v>
      </c>
      <c r="E2" s="1" t="s">
        <v>105</v>
      </c>
      <c r="F2" s="1" t="s">
        <v>104</v>
      </c>
      <c r="G2" s="1" t="s">
        <v>106</v>
      </c>
      <c r="H2" s="1" t="s">
        <v>107</v>
      </c>
      <c r="I2" s="1" t="s">
        <v>108</v>
      </c>
      <c r="J2" s="1" t="s">
        <v>109</v>
      </c>
      <c r="K2" s="1" t="s">
        <v>110</v>
      </c>
      <c r="L2" s="1" t="s">
        <v>104</v>
      </c>
      <c r="M2" s="1" t="s">
        <v>111</v>
      </c>
      <c r="N2" s="1" t="s">
        <v>104</v>
      </c>
      <c r="O2" s="1" t="s">
        <v>112</v>
      </c>
      <c r="P2" s="1" t="s">
        <v>113</v>
      </c>
      <c r="Q2" s="1" t="s">
        <v>108</v>
      </c>
      <c r="R2" s="1" t="s">
        <v>8</v>
      </c>
      <c r="S2" s="4" t="n">
        <v>45873</v>
      </c>
      <c r="T2" s="4" t="n">
        <v>45877</v>
      </c>
      <c r="U2" s="4" t="s">
        <v>114</v>
      </c>
      <c r="V2" s="4" t="s">
        <v>115</v>
      </c>
      <c r="W2" s="3" t="s">
        <v>116</v>
      </c>
      <c r="X2" s="3" t="s">
        <v>117</v>
      </c>
      <c r="Y2" s="3" t="s">
        <v>118</v>
      </c>
      <c r="Z2" s="3" t="s">
        <v>106</v>
      </c>
      <c r="AA2" s="3" t="s">
        <v>119</v>
      </c>
      <c r="AB2" s="3" t="s">
        <v>108</v>
      </c>
      <c r="AC2" s="3" t="s">
        <v>8</v>
      </c>
      <c r="AD2" s="3" t="s">
        <v>120</v>
      </c>
    </row>
    <row r="3" customFormat="false" ht="15.65" hidden="false" customHeight="false" outlineLevel="0" collapsed="false">
      <c r="A3" s="1" t="n">
        <v>1</v>
      </c>
      <c r="B3" s="3" t="s">
        <v>13</v>
      </c>
      <c r="C3" s="1" t="n">
        <v>7</v>
      </c>
      <c r="E3" s="1" t="n">
        <v>8</v>
      </c>
      <c r="G3" s="1" t="n">
        <v>10</v>
      </c>
      <c r="H3" s="1" t="n">
        <f aca="false">E3+G3/2</f>
        <v>13</v>
      </c>
      <c r="I3" s="1" t="n">
        <f aca="false">ROUND(AVERAGE(C3,H3),0)</f>
        <v>10</v>
      </c>
      <c r="J3" s="1" t="str">
        <f aca="false">IF(I3&lt;7,"TEP","TEA")</f>
        <v>TEA</v>
      </c>
      <c r="K3" s="1" t="n">
        <v>10</v>
      </c>
      <c r="M3" s="1" t="n">
        <v>1</v>
      </c>
      <c r="O3" s="1" t="n">
        <v>10</v>
      </c>
      <c r="P3" s="1" t="n">
        <v>9</v>
      </c>
      <c r="Q3" s="6" t="n">
        <f aca="false">ROUND(AVERAGE(P3,O3,M3,K3,I3),0)</f>
        <v>8</v>
      </c>
      <c r="U3" s="1" t="n">
        <v>10</v>
      </c>
      <c r="V3" s="1" t="s">
        <v>121</v>
      </c>
      <c r="W3" s="1" t="n">
        <v>1</v>
      </c>
      <c r="X3" s="1" t="n">
        <v>7</v>
      </c>
      <c r="Y3" s="1" t="n">
        <v>8</v>
      </c>
      <c r="AA3" s="3" t="n">
        <f aca="false">Y3+Z3/2</f>
        <v>8</v>
      </c>
      <c r="AB3" s="6" t="n">
        <f aca="false">ROUND(AVERAGE(U3,X3,AA3,Y3),0)</f>
        <v>8</v>
      </c>
      <c r="AD3" s="6" t="n">
        <f aca="false">ROUND(AVERAGE(Q3,AB3),0)</f>
        <v>8</v>
      </c>
    </row>
    <row r="4" customFormat="false" ht="15.65" hidden="false" customHeight="false" outlineLevel="0" collapsed="false">
      <c r="A4" s="1" t="n">
        <v>2</v>
      </c>
      <c r="B4" s="3" t="s">
        <v>19</v>
      </c>
      <c r="C4" s="2" t="n">
        <v>8</v>
      </c>
      <c r="D4" s="5" t="n">
        <v>45989</v>
      </c>
      <c r="E4" s="2" t="n">
        <v>7</v>
      </c>
      <c r="F4" s="5" t="n">
        <v>45989</v>
      </c>
      <c r="G4" s="1" t="n">
        <v>0</v>
      </c>
      <c r="H4" s="1" t="n">
        <f aca="false">E4+G4/2</f>
        <v>7</v>
      </c>
      <c r="I4" s="1" t="n">
        <f aca="false">ROUND(AVERAGE(C4,H4),0)</f>
        <v>8</v>
      </c>
      <c r="J4" s="1" t="str">
        <f aca="false">IF(I4&lt;7,"TEP","TEA")</f>
        <v>TEA</v>
      </c>
      <c r="K4" s="2" t="n">
        <v>5</v>
      </c>
      <c r="L4" s="5" t="n">
        <v>45989</v>
      </c>
      <c r="M4" s="2" t="n">
        <v>6</v>
      </c>
      <c r="N4" s="5" t="n">
        <v>45989</v>
      </c>
      <c r="O4" s="1" t="n">
        <v>5.29</v>
      </c>
      <c r="P4" s="1" t="n">
        <v>6</v>
      </c>
      <c r="Q4" s="6" t="n">
        <f aca="false">ROUND(AVERAGE(P4,O4,M4,K4,I4),0)</f>
        <v>6</v>
      </c>
      <c r="R4" s="1" t="s">
        <v>122</v>
      </c>
      <c r="S4" s="1" t="s">
        <v>17</v>
      </c>
      <c r="T4" s="1" t="s">
        <v>17</v>
      </c>
      <c r="U4" s="2" t="n">
        <v>7</v>
      </c>
      <c r="V4" s="1" t="s">
        <v>123</v>
      </c>
      <c r="W4" s="1" t="n">
        <v>1</v>
      </c>
      <c r="X4" s="1" t="n">
        <v>5</v>
      </c>
      <c r="Y4" s="1" t="n">
        <v>8</v>
      </c>
      <c r="AA4" s="3" t="n">
        <f aca="false">Y4+Z4/2</f>
        <v>8</v>
      </c>
      <c r="AB4" s="6" t="n">
        <f aca="false">ROUND(AVERAGE(U4,X4,AA4,Y4),0)</f>
        <v>7</v>
      </c>
      <c r="AD4" s="6" t="n">
        <v>6</v>
      </c>
    </row>
    <row r="5" customFormat="false" ht="15.65" hidden="false" customHeight="false" outlineLevel="0" collapsed="false">
      <c r="A5" s="1" t="n">
        <v>3</v>
      </c>
      <c r="B5" s="3" t="s">
        <v>22</v>
      </c>
      <c r="C5" s="1" t="n">
        <v>5</v>
      </c>
      <c r="E5" s="1" t="n">
        <v>9</v>
      </c>
      <c r="G5" s="1" t="n">
        <v>1</v>
      </c>
      <c r="H5" s="1" t="n">
        <f aca="false">E5+G5/2</f>
        <v>9.5</v>
      </c>
      <c r="I5" s="1" t="n">
        <f aca="false">ROUND(AVERAGE(C5,H5),0)</f>
        <v>7</v>
      </c>
      <c r="J5" s="1" t="str">
        <f aca="false">IF(I5&lt;7,"TEP","TEA")</f>
        <v>TEA</v>
      </c>
      <c r="K5" s="7" t="n">
        <v>6</v>
      </c>
      <c r="L5" s="8" t="n">
        <v>45850</v>
      </c>
      <c r="M5" s="9" t="n">
        <v>7</v>
      </c>
      <c r="N5" s="10" t="n">
        <v>45816</v>
      </c>
      <c r="O5" s="1" t="n">
        <v>8.04</v>
      </c>
      <c r="P5" s="1" t="n">
        <v>9</v>
      </c>
      <c r="Q5" s="6" t="n">
        <f aca="false">ROUND(AVERAGE(P5,O5,M5,K5,I5),0)</f>
        <v>7</v>
      </c>
      <c r="R5" s="1" t="s">
        <v>124</v>
      </c>
      <c r="S5" s="1" t="s">
        <v>16</v>
      </c>
      <c r="U5" s="1" t="n">
        <v>1</v>
      </c>
      <c r="V5" s="1" t="s">
        <v>123</v>
      </c>
      <c r="W5" s="1" t="n">
        <v>1</v>
      </c>
      <c r="X5" s="1" t="n">
        <v>6</v>
      </c>
      <c r="Y5" s="1" t="n">
        <v>10</v>
      </c>
      <c r="AA5" s="3" t="n">
        <f aca="false">Y5+Z5/2</f>
        <v>10</v>
      </c>
      <c r="AB5" s="6" t="n">
        <f aca="false">ROUND(AVERAGE(U5,X5,AA5,Y5),0)</f>
        <v>7</v>
      </c>
      <c r="AD5" s="6" t="n">
        <f aca="false">ROUND(AVERAGE(Q5,AB5),0)</f>
        <v>7</v>
      </c>
    </row>
    <row r="6" customFormat="false" ht="15.65" hidden="false" customHeight="false" outlineLevel="0" collapsed="false">
      <c r="A6" s="1" t="n">
        <v>4</v>
      </c>
      <c r="B6" s="3" t="s">
        <v>26</v>
      </c>
      <c r="C6" s="1" t="n">
        <v>9</v>
      </c>
      <c r="E6" s="1" t="n">
        <v>7</v>
      </c>
      <c r="G6" s="1" t="n">
        <v>9</v>
      </c>
      <c r="H6" s="1" t="n">
        <f aca="false">E6+G6/2</f>
        <v>11.5</v>
      </c>
      <c r="I6" s="1" t="n">
        <f aca="false">ROUND(AVERAGE(C6,H6),0)</f>
        <v>10</v>
      </c>
      <c r="J6" s="1" t="str">
        <f aca="false">IF(I6&lt;7,"TEP","TEA")</f>
        <v>TEA</v>
      </c>
      <c r="K6" s="1" t="n">
        <v>8</v>
      </c>
      <c r="M6" s="1" t="n">
        <v>8</v>
      </c>
      <c r="O6" s="1" t="n">
        <v>5.49</v>
      </c>
      <c r="P6" s="1" t="n">
        <v>10</v>
      </c>
      <c r="Q6" s="6" t="n">
        <f aca="false">ROUND(AVERAGE(P6,O6,M6,K6,I6),0)</f>
        <v>8</v>
      </c>
      <c r="U6" s="1" t="n">
        <v>9</v>
      </c>
      <c r="V6" s="1" t="s">
        <v>121</v>
      </c>
      <c r="W6" s="1" t="n">
        <v>1</v>
      </c>
      <c r="X6" s="1" t="n">
        <v>5</v>
      </c>
      <c r="Y6" s="1" t="n">
        <v>9</v>
      </c>
      <c r="AA6" s="3" t="n">
        <f aca="false">Y6+Z6/2</f>
        <v>9</v>
      </c>
      <c r="AB6" s="6" t="n">
        <f aca="false">ROUND(AVERAGE(U6,X6,AA6,Y6),0)</f>
        <v>8</v>
      </c>
      <c r="AD6" s="6" t="n">
        <f aca="false">ROUND(AVERAGE(Q6,AB6),0)</f>
        <v>8</v>
      </c>
    </row>
    <row r="7" customFormat="false" ht="15.65" hidden="false" customHeight="false" outlineLevel="0" collapsed="false">
      <c r="A7" s="1" t="n">
        <v>5</v>
      </c>
      <c r="B7" s="3" t="s">
        <v>29</v>
      </c>
      <c r="C7" s="2" t="n">
        <v>7</v>
      </c>
      <c r="D7" s="5" t="n">
        <v>45989</v>
      </c>
      <c r="E7" s="2" t="n">
        <v>6</v>
      </c>
      <c r="F7" s="5" t="n">
        <v>45989</v>
      </c>
      <c r="G7" s="1" t="n">
        <v>0</v>
      </c>
      <c r="H7" s="1" t="n">
        <f aca="false">E7+G7/2</f>
        <v>6</v>
      </c>
      <c r="I7" s="1" t="n">
        <f aca="false">ROUND(AVERAGE(C7,H7),0)</f>
        <v>7</v>
      </c>
      <c r="J7" s="1" t="str">
        <f aca="false">IF(I7&lt;7,"TEP","TEA")</f>
        <v>TEA</v>
      </c>
      <c r="K7" s="1" t="n">
        <v>8</v>
      </c>
      <c r="M7" s="2" t="n">
        <v>7</v>
      </c>
      <c r="N7" s="5" t="n">
        <v>45989</v>
      </c>
      <c r="O7" s="1" t="n">
        <v>1</v>
      </c>
      <c r="P7" s="1" t="n">
        <v>7</v>
      </c>
      <c r="Q7" s="6" t="n">
        <f aca="false">ROUND(AVERAGE(P7,O7,M7,K7,I7),0)</f>
        <v>6</v>
      </c>
      <c r="R7" s="1" t="s">
        <v>122</v>
      </c>
      <c r="S7" s="1" t="s">
        <v>17</v>
      </c>
      <c r="T7" s="1" t="s">
        <v>17</v>
      </c>
      <c r="U7" s="2" t="n">
        <v>8</v>
      </c>
      <c r="V7" s="1" t="s">
        <v>121</v>
      </c>
      <c r="W7" s="1" t="n">
        <v>1</v>
      </c>
      <c r="X7" s="1" t="n">
        <v>6</v>
      </c>
      <c r="Y7" s="1" t="n">
        <v>10</v>
      </c>
      <c r="AA7" s="3" t="n">
        <f aca="false">Y7+Z7/2</f>
        <v>10</v>
      </c>
      <c r="AB7" s="6" t="n">
        <f aca="false">ROUND(AVERAGE(U7,X7,AA7,Y7),0)</f>
        <v>9</v>
      </c>
      <c r="AD7" s="6" t="n">
        <v>6</v>
      </c>
    </row>
    <row r="8" s="13" customFormat="true" ht="15.65" hidden="false" customHeight="false" outlineLevel="0" collapsed="false">
      <c r="A8" s="2" t="n">
        <v>6</v>
      </c>
      <c r="B8" s="11" t="s">
        <v>32</v>
      </c>
      <c r="C8" s="2" t="n">
        <v>9</v>
      </c>
      <c r="D8" s="5" t="n">
        <v>45989</v>
      </c>
      <c r="E8" s="2" t="n">
        <v>6</v>
      </c>
      <c r="F8" s="5" t="n">
        <v>45989</v>
      </c>
      <c r="G8" s="2" t="n">
        <v>0</v>
      </c>
      <c r="H8" s="2" t="n">
        <f aca="false">E8+G8/2</f>
        <v>6</v>
      </c>
      <c r="I8" s="2" t="n">
        <f aca="false">ROUND(AVERAGE(C8,H8),0)</f>
        <v>8</v>
      </c>
      <c r="J8" s="2" t="str">
        <f aca="false">IF(I8&lt;7,"TEP","TEA")</f>
        <v>TEA</v>
      </c>
      <c r="K8" s="2" t="n">
        <v>8</v>
      </c>
      <c r="L8" s="2"/>
      <c r="M8" s="2" t="n">
        <v>9</v>
      </c>
      <c r="N8" s="2"/>
      <c r="O8" s="2" t="n">
        <v>3.53</v>
      </c>
      <c r="P8" s="2" t="n">
        <v>4</v>
      </c>
      <c r="Q8" s="12" t="n">
        <f aca="false">ROUND(AVERAGE(P8,O8,M8,K8,I8),0)</f>
        <v>7</v>
      </c>
      <c r="R8" s="2"/>
      <c r="S8" s="2" t="s">
        <v>17</v>
      </c>
      <c r="T8" s="2" t="s">
        <v>17</v>
      </c>
      <c r="U8" s="2" t="n">
        <v>7</v>
      </c>
      <c r="V8" s="2" t="s">
        <v>123</v>
      </c>
      <c r="W8" s="2" t="n">
        <v>1</v>
      </c>
      <c r="X8" s="2" t="n">
        <v>5</v>
      </c>
      <c r="Y8" s="2" t="n">
        <v>8</v>
      </c>
      <c r="Z8" s="2"/>
      <c r="AA8" s="11" t="n">
        <f aca="false">Y8+Z8/2</f>
        <v>8</v>
      </c>
      <c r="AB8" s="12" t="n">
        <f aca="false">ROUND(AVERAGE(U8,X8,AA8,Y8),0)</f>
        <v>7</v>
      </c>
      <c r="AD8" s="2" t="n">
        <v>2</v>
      </c>
      <c r="AE8" s="13" t="s">
        <v>125</v>
      </c>
      <c r="XFD8" s="2"/>
    </row>
    <row r="9" customFormat="false" ht="15.65" hidden="false" customHeight="false" outlineLevel="0" collapsed="false">
      <c r="A9" s="1" t="n">
        <v>7</v>
      </c>
      <c r="B9" s="3" t="s">
        <v>35</v>
      </c>
      <c r="C9" s="1" t="n">
        <v>7</v>
      </c>
      <c r="E9" s="1" t="n">
        <v>9</v>
      </c>
      <c r="G9" s="1" t="n">
        <v>0</v>
      </c>
      <c r="H9" s="1" t="n">
        <f aca="false">E9+G9/2</f>
        <v>9</v>
      </c>
      <c r="I9" s="1" t="n">
        <f aca="false">ROUND(AVERAGE(C9,H9),0)</f>
        <v>8</v>
      </c>
      <c r="J9" s="1" t="str">
        <f aca="false">IF(I9&lt;7,"TEP","TEA")</f>
        <v>TEA</v>
      </c>
      <c r="K9" s="1" t="n">
        <v>9</v>
      </c>
      <c r="M9" s="1" t="n">
        <v>10</v>
      </c>
      <c r="O9" s="1" t="n">
        <v>7.84</v>
      </c>
      <c r="P9" s="1" t="n">
        <v>10</v>
      </c>
      <c r="Q9" s="6" t="n">
        <f aca="false">ROUND(AVERAGE(P9,O9,M9,K9,I9),0)</f>
        <v>9</v>
      </c>
      <c r="U9" s="1" t="n">
        <v>9</v>
      </c>
      <c r="V9" s="1" t="s">
        <v>123</v>
      </c>
      <c r="W9" s="1" t="n">
        <v>7</v>
      </c>
      <c r="X9" s="1" t="n">
        <v>7</v>
      </c>
      <c r="Y9" s="1" t="n">
        <v>10</v>
      </c>
      <c r="AA9" s="3" t="n">
        <f aca="false">Y9+Z9/2</f>
        <v>10</v>
      </c>
      <c r="AB9" s="6" t="n">
        <f aca="false">ROUND(AVERAGE(U9,X9,AA9,Y9),0)</f>
        <v>9</v>
      </c>
      <c r="AD9" s="6" t="n">
        <f aca="false">ROUND(AVERAGE(Q9,AB9),0)</f>
        <v>9</v>
      </c>
    </row>
    <row r="10" customFormat="false" ht="15.65" hidden="false" customHeight="false" outlineLevel="0" collapsed="false">
      <c r="A10" s="1" t="n">
        <v>8</v>
      </c>
      <c r="B10" s="3" t="s">
        <v>39</v>
      </c>
      <c r="C10" s="1" t="n">
        <v>8</v>
      </c>
      <c r="E10" s="1" t="n">
        <v>7</v>
      </c>
      <c r="G10" s="1" t="n">
        <v>7</v>
      </c>
      <c r="H10" s="1" t="n">
        <f aca="false">E10+G10/2</f>
        <v>10.5</v>
      </c>
      <c r="I10" s="1" t="n">
        <f aca="false">ROUND(AVERAGE(C10,H10),0)</f>
        <v>9</v>
      </c>
      <c r="J10" s="1" t="str">
        <f aca="false">IF(I10&lt;7,"TEP","TEA")</f>
        <v>TEA</v>
      </c>
      <c r="K10" s="1" t="n">
        <v>7</v>
      </c>
      <c r="M10" s="1" t="n">
        <v>10</v>
      </c>
      <c r="O10" s="1" t="n">
        <v>7.45</v>
      </c>
      <c r="P10" s="1" t="n">
        <v>10</v>
      </c>
      <c r="Q10" s="6" t="n">
        <f aca="false">ROUND(AVERAGE(P10,O10,M10,K10,I10),0)</f>
        <v>9</v>
      </c>
      <c r="U10" s="1" t="n">
        <v>9</v>
      </c>
      <c r="V10" s="1" t="s">
        <v>126</v>
      </c>
      <c r="W10" s="1" t="n">
        <v>7</v>
      </c>
      <c r="X10" s="1" t="n">
        <v>7</v>
      </c>
      <c r="Y10" s="1" t="n">
        <v>9</v>
      </c>
      <c r="AA10" s="3" t="n">
        <f aca="false">Y10+Z10/2</f>
        <v>9</v>
      </c>
      <c r="AB10" s="6" t="n">
        <f aca="false">ROUND(AVERAGE(U10,X10,AA10,Y10),0)</f>
        <v>9</v>
      </c>
      <c r="AD10" s="6" t="n">
        <f aca="false">ROUND(AVERAGE(Q10,AB10),0)</f>
        <v>9</v>
      </c>
    </row>
    <row r="11" customFormat="false" ht="15.65" hidden="false" customHeight="false" outlineLevel="0" collapsed="false">
      <c r="A11" s="1" t="n">
        <v>9</v>
      </c>
      <c r="B11" s="3" t="s">
        <v>42</v>
      </c>
      <c r="C11" s="1" t="n">
        <v>9</v>
      </c>
      <c r="E11" s="1" t="n">
        <v>9</v>
      </c>
      <c r="G11" s="1" t="n">
        <v>8</v>
      </c>
      <c r="H11" s="1" t="n">
        <f aca="false">E11+G11/2</f>
        <v>13</v>
      </c>
      <c r="I11" s="1" t="n">
        <f aca="false">ROUND(AVERAGE(C11,H11),0)</f>
        <v>11</v>
      </c>
      <c r="J11" s="1" t="str">
        <f aca="false">IF(I11&lt;7,"TEP","TEA")</f>
        <v>TEA</v>
      </c>
      <c r="K11" s="1" t="n">
        <v>9</v>
      </c>
      <c r="M11" s="1" t="n">
        <v>9</v>
      </c>
      <c r="O11" s="1" t="n">
        <v>10</v>
      </c>
      <c r="P11" s="1" t="n">
        <v>10</v>
      </c>
      <c r="Q11" s="6" t="n">
        <f aca="false">ROUND(AVERAGE(P11,O11,M11,K11,I11),0)</f>
        <v>10</v>
      </c>
      <c r="U11" s="1" t="n">
        <v>10</v>
      </c>
      <c r="V11" s="1" t="s">
        <v>121</v>
      </c>
      <c r="W11" s="1" t="n">
        <v>8</v>
      </c>
      <c r="X11" s="1" t="n">
        <v>3</v>
      </c>
      <c r="Y11" s="1" t="n">
        <v>10</v>
      </c>
      <c r="Z11" s="1" t="n">
        <v>10</v>
      </c>
      <c r="AA11" s="3" t="n">
        <f aca="false">Y11+Z11/2</f>
        <v>15</v>
      </c>
      <c r="AB11" s="6" t="n">
        <f aca="false">ROUND(AVERAGE(U11,X11,AA11,Y11),0)</f>
        <v>10</v>
      </c>
      <c r="AD11" s="6" t="n">
        <f aca="false">ROUND(AVERAGE(Q11,AB11),0)</f>
        <v>10</v>
      </c>
    </row>
    <row r="12" customFormat="false" ht="15.65" hidden="false" customHeight="false" outlineLevel="0" collapsed="false">
      <c r="A12" s="1" t="n">
        <v>10</v>
      </c>
      <c r="B12" s="3" t="s">
        <v>45</v>
      </c>
      <c r="C12" s="14" t="n">
        <v>6</v>
      </c>
      <c r="D12" s="4" t="n">
        <v>45783</v>
      </c>
      <c r="E12" s="14" t="n">
        <v>7</v>
      </c>
      <c r="F12" s="4" t="n">
        <v>45784</v>
      </c>
      <c r="G12" s="1" t="n">
        <v>0</v>
      </c>
      <c r="H12" s="1" t="n">
        <f aca="false">E12+G12/2</f>
        <v>7</v>
      </c>
      <c r="I12" s="1" t="n">
        <f aca="false">ROUND(AVERAGE(C12,H12),0)</f>
        <v>7</v>
      </c>
      <c r="J12" s="1" t="str">
        <f aca="false">IF(I12&lt;7,"TEP","TEA")</f>
        <v>TEA</v>
      </c>
      <c r="K12" s="7" t="n">
        <v>6</v>
      </c>
      <c r="L12" s="8" t="n">
        <v>45877</v>
      </c>
      <c r="M12" s="7" t="n">
        <v>5</v>
      </c>
      <c r="N12" s="8" t="n">
        <v>45877</v>
      </c>
      <c r="O12" s="1" t="n">
        <v>5.69</v>
      </c>
      <c r="P12" s="1" t="n">
        <v>9</v>
      </c>
      <c r="Q12" s="6" t="n">
        <f aca="false">ROUND(AVERAGE(P12,O12,M12,K12,I12),0)</f>
        <v>7</v>
      </c>
      <c r="R12" s="1" t="s">
        <v>124</v>
      </c>
      <c r="S12" s="1" t="s">
        <v>17</v>
      </c>
      <c r="T12" s="1" t="s">
        <v>16</v>
      </c>
      <c r="U12" s="1" t="n">
        <v>8</v>
      </c>
      <c r="V12" s="1" t="s">
        <v>126</v>
      </c>
      <c r="W12" s="1" t="n">
        <v>7</v>
      </c>
      <c r="X12" s="1" t="n">
        <v>5</v>
      </c>
      <c r="Y12" s="1" t="n">
        <v>10</v>
      </c>
      <c r="AA12" s="3" t="n">
        <f aca="false">Y12+Z12/2</f>
        <v>10</v>
      </c>
      <c r="AB12" s="6" t="n">
        <f aca="false">ROUND(AVERAGE(U12,X12,AA12,Y12),0)</f>
        <v>8</v>
      </c>
      <c r="AD12" s="6" t="n">
        <f aca="false">ROUND(AVERAGE(Q12,AB12),0)</f>
        <v>8</v>
      </c>
    </row>
    <row r="13" customFormat="false" ht="15.65" hidden="false" customHeight="false" outlineLevel="0" collapsed="false">
      <c r="A13" s="1" t="n">
        <v>26</v>
      </c>
      <c r="B13" s="3" t="s">
        <v>48</v>
      </c>
      <c r="C13" s="1" t="n">
        <v>10</v>
      </c>
      <c r="E13" s="1" t="n">
        <v>8</v>
      </c>
      <c r="G13" s="1" t="n">
        <v>1</v>
      </c>
      <c r="H13" s="1" t="n">
        <f aca="false">E13+G13/2</f>
        <v>8.5</v>
      </c>
      <c r="I13" s="1" t="n">
        <f aca="false">ROUND(AVERAGE(C13,H13),0)</f>
        <v>9</v>
      </c>
      <c r="J13" s="1" t="str">
        <f aca="false">IF(I13&lt;7,"TEP","TEA")</f>
        <v>TEA</v>
      </c>
      <c r="K13" s="1" t="n">
        <v>8</v>
      </c>
      <c r="M13" s="1" t="n">
        <v>1</v>
      </c>
      <c r="O13" s="1" t="n">
        <v>7.84</v>
      </c>
      <c r="P13" s="1" t="n">
        <v>9</v>
      </c>
      <c r="Q13" s="6" t="n">
        <f aca="false">ROUND(AVERAGE(P13,O13,M13,K13,I13),0)</f>
        <v>7</v>
      </c>
      <c r="U13" s="1" t="n">
        <v>9</v>
      </c>
      <c r="V13" s="1" t="s">
        <v>126</v>
      </c>
      <c r="W13" s="1" t="n">
        <v>7</v>
      </c>
      <c r="X13" s="1" t="n">
        <v>6</v>
      </c>
      <c r="Y13" s="1" t="n">
        <v>8</v>
      </c>
      <c r="AA13" s="3" t="n">
        <f aca="false">Y13+Z13/2</f>
        <v>8</v>
      </c>
      <c r="AB13" s="6" t="n">
        <f aca="false">ROUND(AVERAGE(U13,X13,AA13,Y13),0)</f>
        <v>8</v>
      </c>
      <c r="AD13" s="6" t="n">
        <f aca="false">ROUND(AVERAGE(Q13,AB13),0)</f>
        <v>8</v>
      </c>
    </row>
    <row r="14" customFormat="false" ht="15.65" hidden="false" customHeight="false" outlineLevel="0" collapsed="false">
      <c r="A14" s="1" t="n">
        <v>11</v>
      </c>
      <c r="B14" s="3" t="s">
        <v>51</v>
      </c>
      <c r="C14" s="1" t="n">
        <v>9</v>
      </c>
      <c r="E14" s="1" t="n">
        <v>8</v>
      </c>
      <c r="G14" s="1" t="n">
        <v>8</v>
      </c>
      <c r="H14" s="1" t="n">
        <f aca="false">E14+G14/2</f>
        <v>12</v>
      </c>
      <c r="I14" s="1" t="n">
        <f aca="false">ROUND(AVERAGE(C14,H14),0)</f>
        <v>11</v>
      </c>
      <c r="J14" s="1" t="str">
        <f aca="false">IF(I14&lt;7,"TEP","TEA")</f>
        <v>TEA</v>
      </c>
      <c r="K14" s="1" t="n">
        <v>8</v>
      </c>
      <c r="M14" s="1" t="n">
        <v>8</v>
      </c>
      <c r="O14" s="1" t="n">
        <v>10</v>
      </c>
      <c r="P14" s="1" t="n">
        <v>9</v>
      </c>
      <c r="Q14" s="6" t="n">
        <f aca="false">ROUND(AVERAGE(P14,O14,M14,K14,I14),0)</f>
        <v>9</v>
      </c>
      <c r="U14" s="2" t="n">
        <v>8</v>
      </c>
      <c r="V14" s="1" t="s">
        <v>121</v>
      </c>
      <c r="W14" s="1" t="n">
        <v>8</v>
      </c>
      <c r="X14" s="1" t="n">
        <v>7</v>
      </c>
      <c r="Y14" s="1" t="n">
        <v>9</v>
      </c>
      <c r="Z14" s="1" t="n">
        <v>30</v>
      </c>
      <c r="AA14" s="3" t="n">
        <f aca="false">Y14+Z14/2</f>
        <v>24</v>
      </c>
      <c r="AB14" s="6" t="n">
        <f aca="false">ROUND(AVERAGE(U14,X14,AA14,Y14),0)</f>
        <v>12</v>
      </c>
      <c r="AD14" s="6" t="n">
        <f aca="false">ROUND(AVERAGE(Q14,AB14),0)</f>
        <v>11</v>
      </c>
    </row>
    <row r="15" customFormat="false" ht="15.65" hidden="false" customHeight="false" outlineLevel="0" collapsed="false">
      <c r="A15" s="1" t="n">
        <v>12</v>
      </c>
      <c r="B15" s="3" t="s">
        <v>54</v>
      </c>
      <c r="C15" s="1" t="n">
        <v>8</v>
      </c>
      <c r="E15" s="1" t="n">
        <v>10</v>
      </c>
      <c r="G15" s="1" t="n">
        <v>5</v>
      </c>
      <c r="H15" s="1" t="n">
        <f aca="false">E15+G15/2</f>
        <v>12.5</v>
      </c>
      <c r="I15" s="1" t="n">
        <f aca="false">ROUND(AVERAGE(C15,H15),0)</f>
        <v>10</v>
      </c>
      <c r="J15" s="1" t="str">
        <f aca="false">IF(I15&lt;7,"TEP","TEA")</f>
        <v>TEA</v>
      </c>
      <c r="K15" s="1" t="n">
        <v>8</v>
      </c>
      <c r="M15" s="1" t="n">
        <v>10</v>
      </c>
      <c r="O15" s="1" t="n">
        <v>8.43</v>
      </c>
      <c r="P15" s="1" t="n">
        <v>10</v>
      </c>
      <c r="Q15" s="6" t="n">
        <f aca="false">ROUND(AVERAGE(P15,O15,M15,K15,I15),0)</f>
        <v>9</v>
      </c>
      <c r="U15" s="1" t="n">
        <v>8</v>
      </c>
      <c r="V15" s="1" t="s">
        <v>126</v>
      </c>
      <c r="W15" s="1" t="n">
        <v>10</v>
      </c>
      <c r="X15" s="1" t="n">
        <v>9</v>
      </c>
      <c r="Y15" s="1" t="n">
        <v>9</v>
      </c>
      <c r="Z15" s="1" t="n">
        <v>36</v>
      </c>
      <c r="AA15" s="3" t="n">
        <f aca="false">Y15+Z15/2</f>
        <v>27</v>
      </c>
      <c r="AB15" s="6" t="n">
        <f aca="false">ROUND(AVERAGE(U15,X15,AA15,Y15),0)</f>
        <v>13</v>
      </c>
      <c r="AD15" s="6" t="n">
        <f aca="false">ROUND(AVERAGE(Q15,AB15),0)</f>
        <v>11</v>
      </c>
    </row>
    <row r="16" customFormat="false" ht="15.65" hidden="false" customHeight="false" outlineLevel="0" collapsed="false">
      <c r="A16" s="1" t="n">
        <v>13</v>
      </c>
      <c r="B16" s="3" t="s">
        <v>58</v>
      </c>
      <c r="C16" s="1" t="n">
        <v>8</v>
      </c>
      <c r="E16" s="1" t="n">
        <v>5</v>
      </c>
      <c r="G16" s="1" t="n">
        <v>11</v>
      </c>
      <c r="H16" s="1" t="n">
        <f aca="false">E16+G16/2</f>
        <v>10.5</v>
      </c>
      <c r="I16" s="1" t="n">
        <f aca="false">ROUND(AVERAGE(C16,H16),0)</f>
        <v>9</v>
      </c>
      <c r="J16" s="1" t="str">
        <f aca="false">IF(I16&lt;7,"TEP","TEA")</f>
        <v>TEA</v>
      </c>
      <c r="K16" s="1" t="n">
        <v>9</v>
      </c>
      <c r="M16" s="1" t="n">
        <v>7</v>
      </c>
      <c r="O16" s="1" t="n">
        <v>6.86</v>
      </c>
      <c r="P16" s="1" t="n">
        <v>10</v>
      </c>
      <c r="Q16" s="6" t="n">
        <f aca="false">ROUND(AVERAGE(P16,O16,M16,K16,I16),0)</f>
        <v>8</v>
      </c>
      <c r="U16" s="1" t="n">
        <v>9</v>
      </c>
      <c r="V16" s="1" t="s">
        <v>121</v>
      </c>
      <c r="W16" s="1" t="n">
        <v>100</v>
      </c>
      <c r="X16" s="1" t="n">
        <v>8</v>
      </c>
      <c r="Y16" s="1" t="n">
        <v>9</v>
      </c>
      <c r="Z16" s="1" t="n">
        <v>36</v>
      </c>
      <c r="AA16" s="3" t="n">
        <f aca="false">Y16+Z16/2</f>
        <v>27</v>
      </c>
      <c r="AB16" s="6" t="n">
        <f aca="false">ROUND(AVERAGE(U16,X16,AA16,Y16),0)</f>
        <v>13</v>
      </c>
      <c r="AD16" s="6" t="n">
        <f aca="false">ROUND(AVERAGE(Q16,AB16),0)</f>
        <v>11</v>
      </c>
    </row>
    <row r="17" customFormat="false" ht="15.65" hidden="false" customHeight="false" outlineLevel="0" collapsed="false">
      <c r="A17" s="1" t="n">
        <v>14</v>
      </c>
      <c r="B17" s="3" t="s">
        <v>61</v>
      </c>
      <c r="C17" s="1" t="n">
        <v>8</v>
      </c>
      <c r="E17" s="1" t="n">
        <v>10</v>
      </c>
      <c r="G17" s="1" t="n">
        <v>2</v>
      </c>
      <c r="H17" s="1" t="n">
        <f aca="false">E17+G17/2</f>
        <v>11</v>
      </c>
      <c r="I17" s="1" t="n">
        <f aca="false">ROUND(AVERAGE(C17,H17),0)</f>
        <v>10</v>
      </c>
      <c r="J17" s="1" t="str">
        <f aca="false">IF(I17&lt;7,"TEP","TEA")</f>
        <v>TEA</v>
      </c>
      <c r="K17" s="7" t="n">
        <v>4</v>
      </c>
      <c r="L17" s="8" t="n">
        <v>45877</v>
      </c>
      <c r="M17" s="7" t="n">
        <v>4</v>
      </c>
      <c r="N17" s="8" t="n">
        <v>45877</v>
      </c>
      <c r="O17" s="1" t="n">
        <v>9.61</v>
      </c>
      <c r="P17" s="1" t="n">
        <v>9</v>
      </c>
      <c r="Q17" s="6" t="n">
        <f aca="false">ROUND(AVERAGE(P17,O17,M17,K17,I17),0)</f>
        <v>7</v>
      </c>
      <c r="R17" s="1" t="s">
        <v>124</v>
      </c>
      <c r="S17" s="1" t="s">
        <v>17</v>
      </c>
      <c r="T17" s="1" t="s">
        <v>16</v>
      </c>
      <c r="U17" s="2" t="n">
        <v>8</v>
      </c>
      <c r="X17" s="1" t="n">
        <v>8</v>
      </c>
      <c r="Y17" s="1" t="n">
        <v>10</v>
      </c>
      <c r="AA17" s="3" t="n">
        <f aca="false">Y17+Z17/2</f>
        <v>10</v>
      </c>
      <c r="AB17" s="6" t="n">
        <f aca="false">ROUND(AVERAGE(U17,X17,AA17,Y17),0)</f>
        <v>9</v>
      </c>
      <c r="AD17" s="6" t="n">
        <f aca="false">ROUND(AVERAGE(Q17,AB17),0)</f>
        <v>8</v>
      </c>
    </row>
    <row r="18" customFormat="false" ht="15.65" hidden="false" customHeight="false" outlineLevel="0" collapsed="false">
      <c r="A18" s="1" t="n">
        <v>15</v>
      </c>
      <c r="B18" s="3" t="s">
        <v>64</v>
      </c>
      <c r="C18" s="1" t="n">
        <v>8</v>
      </c>
      <c r="E18" s="1" t="n">
        <v>8</v>
      </c>
      <c r="G18" s="1" t="n">
        <v>0</v>
      </c>
      <c r="H18" s="1" t="n">
        <f aca="false">E18+G18/2</f>
        <v>8</v>
      </c>
      <c r="I18" s="1" t="n">
        <f aca="false">ROUND(AVERAGE(C18,H18),0)</f>
        <v>8</v>
      </c>
      <c r="J18" s="1" t="str">
        <f aca="false">IF(I18&lt;7,"TEP","TEA")</f>
        <v>TEA</v>
      </c>
      <c r="K18" s="1" t="n">
        <v>10</v>
      </c>
      <c r="M18" s="1" t="n">
        <v>8</v>
      </c>
      <c r="O18" s="1" t="n">
        <v>7.45</v>
      </c>
      <c r="P18" s="1" t="n">
        <v>9</v>
      </c>
      <c r="Q18" s="6" t="n">
        <f aca="false">ROUND(AVERAGE(P18,O18,M18,K18,I18),0)</f>
        <v>8</v>
      </c>
      <c r="U18" s="1" t="n">
        <v>1</v>
      </c>
      <c r="V18" s="1" t="s">
        <v>123</v>
      </c>
      <c r="W18" s="1" t="n">
        <v>1</v>
      </c>
      <c r="X18" s="1" t="n">
        <v>1</v>
      </c>
      <c r="Y18" s="1" t="n">
        <v>9</v>
      </c>
      <c r="AA18" s="3" t="n">
        <f aca="false">Y18+Z18/2</f>
        <v>9</v>
      </c>
      <c r="AB18" s="6" t="n">
        <f aca="false">ROUND(AVERAGE(U18,X18,AA18,Y18),0)</f>
        <v>5</v>
      </c>
      <c r="AC18" s="3" t="s">
        <v>127</v>
      </c>
      <c r="AD18" s="6" t="n">
        <v>5</v>
      </c>
    </row>
    <row r="19" customFormat="false" ht="15.65" hidden="false" customHeight="false" outlineLevel="0" collapsed="false">
      <c r="A19" s="1" t="n">
        <v>16</v>
      </c>
      <c r="B19" s="3" t="s">
        <v>68</v>
      </c>
      <c r="C19" s="1" t="n">
        <v>10</v>
      </c>
      <c r="E19" s="1" t="n">
        <v>9</v>
      </c>
      <c r="G19" s="1" t="n">
        <v>5</v>
      </c>
      <c r="H19" s="1" t="n">
        <f aca="false">E19+G19/2</f>
        <v>11.5</v>
      </c>
      <c r="I19" s="1" t="n">
        <f aca="false">ROUND(AVERAGE(C19,H19),0)</f>
        <v>11</v>
      </c>
      <c r="J19" s="1" t="str">
        <f aca="false">IF(I19&lt;7,"TEP","TEA")</f>
        <v>TEA</v>
      </c>
      <c r="K19" s="1" t="n">
        <v>9</v>
      </c>
      <c r="M19" s="1" t="n">
        <v>9</v>
      </c>
      <c r="O19" s="1" t="n">
        <v>1</v>
      </c>
      <c r="P19" s="1" t="n">
        <v>9</v>
      </c>
      <c r="Q19" s="6" t="n">
        <f aca="false">ROUND(AVERAGE(P19,O19,M19,K19,I19),0)</f>
        <v>8</v>
      </c>
      <c r="U19" s="1" t="n">
        <v>10</v>
      </c>
      <c r="X19" s="1" t="n">
        <v>5</v>
      </c>
      <c r="Y19" s="1" t="n">
        <v>9</v>
      </c>
      <c r="AA19" s="3" t="n">
        <f aca="false">Y19+Z19/2</f>
        <v>9</v>
      </c>
      <c r="AB19" s="6" t="n">
        <f aca="false">ROUND(AVERAGE(U19,X19,AA19,Y19),0)</f>
        <v>8</v>
      </c>
      <c r="AD19" s="6" t="n">
        <f aca="false">ROUND(AVERAGE(Q19,AB19),0)</f>
        <v>8</v>
      </c>
    </row>
    <row r="20" customFormat="false" ht="15.65" hidden="false" customHeight="false" outlineLevel="0" collapsed="false">
      <c r="A20" s="1" t="n">
        <v>17</v>
      </c>
      <c r="B20" s="3" t="s">
        <v>71</v>
      </c>
      <c r="C20" s="1" t="n">
        <v>7</v>
      </c>
      <c r="E20" s="1" t="n">
        <v>6</v>
      </c>
      <c r="G20" s="1" t="n">
        <v>5</v>
      </c>
      <c r="H20" s="1" t="n">
        <f aca="false">E20+G20/2</f>
        <v>8.5</v>
      </c>
      <c r="I20" s="1" t="n">
        <f aca="false">ROUND(AVERAGE(C20,H20),0)</f>
        <v>8</v>
      </c>
      <c r="J20" s="1" t="str">
        <f aca="false">IF(I20&lt;7,"TEP","TEA")</f>
        <v>TEA</v>
      </c>
      <c r="K20" s="1" t="n">
        <v>7</v>
      </c>
      <c r="M20" s="1" t="n">
        <v>8</v>
      </c>
      <c r="O20" s="1" t="n">
        <v>7.84</v>
      </c>
      <c r="P20" s="1" t="n">
        <v>10</v>
      </c>
      <c r="Q20" s="6" t="n">
        <f aca="false">ROUND(AVERAGE(P20,O20,M20,K20,I20),0)</f>
        <v>8</v>
      </c>
      <c r="U20" s="1" t="n">
        <v>1</v>
      </c>
      <c r="V20" s="1" t="s">
        <v>121</v>
      </c>
      <c r="W20" s="1" t="n">
        <v>8</v>
      </c>
      <c r="X20" s="1" t="n">
        <v>8</v>
      </c>
      <c r="Y20" s="1" t="n">
        <v>10</v>
      </c>
      <c r="AA20" s="3" t="n">
        <f aca="false">Y20+Z20/2</f>
        <v>10</v>
      </c>
      <c r="AB20" s="6" t="n">
        <f aca="false">ROUND(AVERAGE(U20,X20,AA20,Y20),0)</f>
        <v>7</v>
      </c>
      <c r="AD20" s="6" t="n">
        <f aca="false">ROUND(AVERAGE(Q20,AB20),0)</f>
        <v>8</v>
      </c>
    </row>
    <row r="21" customFormat="false" ht="15.65" hidden="false" customHeight="false" outlineLevel="0" collapsed="false">
      <c r="A21" s="1" t="n">
        <v>18</v>
      </c>
      <c r="B21" s="3" t="s">
        <v>74</v>
      </c>
      <c r="C21" s="1" t="n">
        <v>8</v>
      </c>
      <c r="E21" s="1" t="n">
        <v>8</v>
      </c>
      <c r="G21" s="1" t="n">
        <v>0</v>
      </c>
      <c r="H21" s="1" t="n">
        <f aca="false">E21+G21/2</f>
        <v>8</v>
      </c>
      <c r="I21" s="1" t="n">
        <f aca="false">ROUND(AVERAGE(C21,H21),0)</f>
        <v>8</v>
      </c>
      <c r="J21" s="1" t="str">
        <f aca="false">IF(I21&lt;7,"TEP","TEA")</f>
        <v>TEA</v>
      </c>
      <c r="K21" s="1" t="n">
        <v>8</v>
      </c>
      <c r="M21" s="1" t="n">
        <v>10</v>
      </c>
      <c r="O21" s="1" t="n">
        <v>8.24</v>
      </c>
      <c r="P21" s="1" t="n">
        <v>9</v>
      </c>
      <c r="Q21" s="6" t="n">
        <f aca="false">ROUND(AVERAGE(P21,O21,M21,K21,I21),0)</f>
        <v>9</v>
      </c>
      <c r="U21" s="1" t="n">
        <v>10</v>
      </c>
      <c r="V21" s="1" t="s">
        <v>126</v>
      </c>
      <c r="W21" s="1" t="n">
        <v>7</v>
      </c>
      <c r="X21" s="1" t="n">
        <v>5</v>
      </c>
      <c r="Y21" s="1" t="n">
        <v>10</v>
      </c>
      <c r="AA21" s="3" t="n">
        <f aca="false">Y21+Z21/2</f>
        <v>10</v>
      </c>
      <c r="AB21" s="6" t="n">
        <f aca="false">ROUND(AVERAGE(U21,X21,AA21,Y21),0)</f>
        <v>9</v>
      </c>
      <c r="AD21" s="6" t="n">
        <f aca="false">ROUND(AVERAGE(Q21,AB21),0)</f>
        <v>9</v>
      </c>
    </row>
    <row r="22" customFormat="false" ht="15.65" hidden="false" customHeight="false" outlineLevel="0" collapsed="false">
      <c r="A22" s="1" t="n">
        <v>19</v>
      </c>
      <c r="B22" s="3" t="s">
        <v>77</v>
      </c>
      <c r="C22" s="1" t="n">
        <v>8</v>
      </c>
      <c r="E22" s="1" t="n">
        <v>1</v>
      </c>
      <c r="G22" s="1" t="n">
        <v>0</v>
      </c>
      <c r="H22" s="1" t="n">
        <f aca="false">E22+G22/2</f>
        <v>1</v>
      </c>
      <c r="I22" s="1" t="n">
        <f aca="false">ROUND(AVERAGE(C22,H22),0)</f>
        <v>5</v>
      </c>
      <c r="J22" s="1" t="str">
        <f aca="false">IF(I22&lt;7,"TEP","TEA")</f>
        <v>TEP</v>
      </c>
      <c r="K22" s="1" t="n">
        <v>9</v>
      </c>
      <c r="M22" s="1" t="n">
        <v>1</v>
      </c>
      <c r="O22" s="1" t="n">
        <v>5.1</v>
      </c>
      <c r="P22" s="1" t="n">
        <v>6</v>
      </c>
      <c r="Q22" s="6" t="n">
        <f aca="false">ROUND(AVERAGE(P22,O22,M22,K22,I22),0)</f>
        <v>5</v>
      </c>
      <c r="R22" s="1" t="s">
        <v>127</v>
      </c>
      <c r="S22" s="1" t="s">
        <v>17</v>
      </c>
      <c r="T22" s="1" t="s">
        <v>17</v>
      </c>
      <c r="U22" s="1" t="n">
        <v>8</v>
      </c>
      <c r="V22" s="1" t="s">
        <v>123</v>
      </c>
      <c r="W22" s="1" t="n">
        <v>1</v>
      </c>
      <c r="X22" s="1" t="n">
        <v>1</v>
      </c>
      <c r="Y22" s="1" t="n">
        <v>9</v>
      </c>
      <c r="AA22" s="3" t="n">
        <f aca="false">Y22+Z22/2</f>
        <v>9</v>
      </c>
      <c r="AB22" s="6" t="n">
        <f aca="false">ROUND(AVERAGE(U22,X22,AA22,Y22),0)</f>
        <v>7</v>
      </c>
      <c r="AD22" s="6" t="n">
        <f aca="false">ROUND(AVERAGE(Q22,AB22),0)</f>
        <v>6</v>
      </c>
    </row>
    <row r="23" customFormat="false" ht="15.65" hidden="false" customHeight="false" outlineLevel="0" collapsed="false">
      <c r="A23" s="1" t="n">
        <v>20</v>
      </c>
      <c r="B23" s="3" t="s">
        <v>81</v>
      </c>
      <c r="C23" s="1" t="n">
        <v>10</v>
      </c>
      <c r="E23" s="1" t="n">
        <v>10</v>
      </c>
      <c r="G23" s="1" t="n">
        <v>10</v>
      </c>
      <c r="H23" s="1" t="n">
        <f aca="false">E23+G23/2</f>
        <v>15</v>
      </c>
      <c r="I23" s="1" t="n">
        <f aca="false">ROUND(AVERAGE(C23,H23),0)</f>
        <v>13</v>
      </c>
      <c r="J23" s="1" t="str">
        <f aca="false">IF(I23&lt;7,"TEP","TEA")</f>
        <v>TEA</v>
      </c>
      <c r="K23" s="1" t="n">
        <v>9</v>
      </c>
      <c r="M23" s="1" t="n">
        <v>1</v>
      </c>
      <c r="O23" s="1" t="n">
        <v>8.82</v>
      </c>
      <c r="P23" s="1" t="n">
        <v>10</v>
      </c>
      <c r="Q23" s="6" t="n">
        <f aca="false">ROUND(AVERAGE(P23,O23,M23,K23,I23),0)</f>
        <v>8</v>
      </c>
      <c r="U23" s="1" t="n">
        <v>10</v>
      </c>
      <c r="V23" s="1" t="s">
        <v>126</v>
      </c>
      <c r="W23" s="1" t="n">
        <v>7</v>
      </c>
      <c r="X23" s="1" t="n">
        <v>8</v>
      </c>
      <c r="Y23" s="1" t="n">
        <v>10</v>
      </c>
      <c r="AA23" s="3" t="n">
        <f aca="false">Y23+Z23/2</f>
        <v>10</v>
      </c>
      <c r="AB23" s="6" t="n">
        <f aca="false">ROUND(AVERAGE(U23,X23,AA23,Y23),0)</f>
        <v>10</v>
      </c>
      <c r="AD23" s="6" t="n">
        <f aca="false">ROUND(AVERAGE(Q23,AB23),0)</f>
        <v>9</v>
      </c>
    </row>
    <row r="24" customFormat="false" ht="15.65" hidden="false" customHeight="false" outlineLevel="0" collapsed="false">
      <c r="A24" s="1" t="n">
        <v>21</v>
      </c>
      <c r="B24" s="3" t="s">
        <v>84</v>
      </c>
      <c r="C24" s="1" t="n">
        <v>9</v>
      </c>
      <c r="E24" s="1" t="n">
        <v>10</v>
      </c>
      <c r="G24" s="1" t="n">
        <v>11</v>
      </c>
      <c r="H24" s="1" t="n">
        <f aca="false">E24+G24/2</f>
        <v>15.5</v>
      </c>
      <c r="I24" s="1" t="n">
        <f aca="false">ROUND(AVERAGE(C24,H24),0)</f>
        <v>12</v>
      </c>
      <c r="J24" s="1" t="str">
        <f aca="false">IF(I24&lt;7,"TEP","TEA")</f>
        <v>TEA</v>
      </c>
      <c r="K24" s="1" t="n">
        <v>10</v>
      </c>
      <c r="M24" s="1" t="n">
        <v>1</v>
      </c>
      <c r="O24" s="1" t="n">
        <v>9.02</v>
      </c>
      <c r="P24" s="1" t="n">
        <v>9</v>
      </c>
      <c r="Q24" s="6" t="n">
        <f aca="false">ROUND(AVERAGE(P24,O24,M24,K24,I24),0)</f>
        <v>8</v>
      </c>
      <c r="U24" s="1" t="n">
        <v>10</v>
      </c>
      <c r="X24" s="1" t="n">
        <v>10</v>
      </c>
      <c r="Y24" s="1" t="n">
        <v>10</v>
      </c>
      <c r="AA24" s="3" t="n">
        <f aca="false">Y24+Z24/2</f>
        <v>10</v>
      </c>
      <c r="AB24" s="6" t="n">
        <f aca="false">ROUND(AVERAGE(U24,X24,AA24,Y24),0)</f>
        <v>10</v>
      </c>
      <c r="AD24" s="6" t="n">
        <f aca="false">ROUND(AVERAGE(Q24,AB24),0)</f>
        <v>9</v>
      </c>
    </row>
    <row r="25" customFormat="false" ht="15.65" hidden="false" customHeight="false" outlineLevel="0" collapsed="false">
      <c r="A25" s="1" t="n">
        <v>22</v>
      </c>
      <c r="B25" s="3" t="s">
        <v>87</v>
      </c>
      <c r="C25" s="1" t="n">
        <v>9</v>
      </c>
      <c r="E25" s="1" t="n">
        <v>9</v>
      </c>
      <c r="G25" s="2" t="n">
        <v>37</v>
      </c>
      <c r="H25" s="1" t="n">
        <f aca="false">E25+G25/2</f>
        <v>27.5</v>
      </c>
      <c r="I25" s="1" t="n">
        <f aca="false">ROUND(AVERAGE(C25,H25),0)</f>
        <v>18</v>
      </c>
      <c r="J25" s="1" t="str">
        <f aca="false">IF(I25&lt;7,"TEP","TEA")</f>
        <v>TEA</v>
      </c>
      <c r="K25" s="1" t="n">
        <v>10</v>
      </c>
      <c r="M25" s="1" t="n">
        <v>8</v>
      </c>
      <c r="O25" s="1" t="n">
        <v>10</v>
      </c>
      <c r="P25" s="1" t="n">
        <v>10</v>
      </c>
      <c r="Q25" s="6" t="n">
        <f aca="false">ROUND(AVERAGE(P25,O25,M25,K25,I25),0)</f>
        <v>11</v>
      </c>
      <c r="U25" s="1" t="n">
        <v>10</v>
      </c>
      <c r="X25" s="1" t="n">
        <v>10</v>
      </c>
      <c r="Y25" s="1" t="n">
        <v>10</v>
      </c>
      <c r="AA25" s="3" t="n">
        <f aca="false">Y25+Z25/2</f>
        <v>10</v>
      </c>
      <c r="AB25" s="6" t="n">
        <f aca="false">ROUND(AVERAGE(U25,X25,AA25,Y25),0)</f>
        <v>10</v>
      </c>
      <c r="AD25" s="6" t="n">
        <f aca="false">ROUND(AVERAGE(Q25,AB25),0)</f>
        <v>11</v>
      </c>
    </row>
    <row r="26" customFormat="false" ht="15.65" hidden="false" customHeight="false" outlineLevel="0" collapsed="false">
      <c r="A26" s="1" t="n">
        <v>23</v>
      </c>
      <c r="B26" s="3" t="s">
        <v>90</v>
      </c>
      <c r="C26" s="1" t="n">
        <v>10</v>
      </c>
      <c r="E26" s="1" t="n">
        <v>10</v>
      </c>
      <c r="G26" s="2" t="n">
        <v>34</v>
      </c>
      <c r="H26" s="1" t="n">
        <f aca="false">E26+G26/2</f>
        <v>27</v>
      </c>
      <c r="I26" s="1" t="n">
        <f aca="false">ROUND(AVERAGE(C26,H26),0)</f>
        <v>19</v>
      </c>
      <c r="J26" s="1" t="str">
        <f aca="false">IF(I26&lt;7,"TEP","TEA")</f>
        <v>TEA</v>
      </c>
      <c r="K26" s="1" t="n">
        <v>10</v>
      </c>
      <c r="M26" s="1" t="n">
        <v>10</v>
      </c>
      <c r="O26" s="1" t="n">
        <v>10</v>
      </c>
      <c r="P26" s="1" t="n">
        <v>10</v>
      </c>
      <c r="Q26" s="6" t="n">
        <f aca="false">ROUND(AVERAGE(P26,O26,M26,K26,I26),0)</f>
        <v>12</v>
      </c>
      <c r="U26" s="1" t="n">
        <v>10</v>
      </c>
      <c r="X26" s="1" t="n">
        <v>10</v>
      </c>
      <c r="Y26" s="1" t="n">
        <v>10</v>
      </c>
      <c r="Z26" s="1" t="n">
        <v>120</v>
      </c>
      <c r="AA26" s="3" t="n">
        <f aca="false">Y26+Z26/2</f>
        <v>70</v>
      </c>
      <c r="AB26" s="6" t="n">
        <f aca="false">ROUND(AVERAGE(U26,X26,AA26,Y26),0)</f>
        <v>25</v>
      </c>
      <c r="AD26" s="6" t="n">
        <f aca="false">ROUND(AVERAGE(Q26,AB26),0)</f>
        <v>19</v>
      </c>
    </row>
    <row r="27" customFormat="false" ht="15.65" hidden="false" customHeight="false" outlineLevel="0" collapsed="false">
      <c r="A27" s="1" t="n">
        <v>24</v>
      </c>
      <c r="B27" s="3" t="s">
        <v>95</v>
      </c>
      <c r="C27" s="1" t="n">
        <v>8</v>
      </c>
      <c r="E27" s="1" t="n">
        <v>8</v>
      </c>
      <c r="G27" s="1" t="n">
        <v>9</v>
      </c>
      <c r="H27" s="1" t="n">
        <f aca="false">E27+G27/2</f>
        <v>12.5</v>
      </c>
      <c r="I27" s="1" t="n">
        <f aca="false">ROUND(AVERAGE(C27,H27),0)</f>
        <v>10</v>
      </c>
      <c r="J27" s="1" t="str">
        <f aca="false">IF(I27&lt;7,"TEP","TEA")</f>
        <v>TEA</v>
      </c>
      <c r="K27" s="1" t="n">
        <v>1</v>
      </c>
      <c r="M27" s="1" t="n">
        <v>10</v>
      </c>
      <c r="O27" s="1" t="n">
        <v>10</v>
      </c>
      <c r="P27" s="1" t="n">
        <v>9</v>
      </c>
      <c r="Q27" s="6" t="n">
        <f aca="false">ROUND(AVERAGE(P27,O27,M27,K27,I27),0)</f>
        <v>8</v>
      </c>
      <c r="U27" s="1" t="n">
        <v>10</v>
      </c>
      <c r="V27" s="1" t="s">
        <v>121</v>
      </c>
      <c r="W27" s="1" t="n">
        <v>1</v>
      </c>
      <c r="X27" s="1" t="n">
        <v>5</v>
      </c>
      <c r="Y27" s="1" t="n">
        <v>9</v>
      </c>
      <c r="AA27" s="3" t="n">
        <f aca="false">Y27+Z27/2</f>
        <v>9</v>
      </c>
      <c r="AB27" s="6" t="n">
        <f aca="false">ROUND(AVERAGE(U27,X27,AA27,Y27),0)</f>
        <v>8</v>
      </c>
      <c r="AD27" s="6" t="n">
        <f aca="false">ROUND(AVERAGE(Q27,AB27),0)</f>
        <v>8</v>
      </c>
    </row>
    <row r="28" customFormat="false" ht="15.65" hidden="false" customHeight="false" outlineLevel="0" collapsed="false">
      <c r="A28" s="1" t="n">
        <v>25</v>
      </c>
      <c r="B28" s="3" t="s">
        <v>98</v>
      </c>
      <c r="C28" s="1" t="n">
        <v>7</v>
      </c>
      <c r="E28" s="1" t="n">
        <v>7</v>
      </c>
      <c r="G28" s="1" t="n">
        <v>5</v>
      </c>
      <c r="H28" s="1" t="n">
        <f aca="false">E28+G28/2</f>
        <v>9.5</v>
      </c>
      <c r="I28" s="1" t="n">
        <f aca="false">ROUND(AVERAGE(C28,H28),0)</f>
        <v>8</v>
      </c>
      <c r="J28" s="1" t="str">
        <f aca="false">IF(I28&lt;7,"TEP","TEA")</f>
        <v>TEA</v>
      </c>
      <c r="K28" s="7" t="n">
        <v>7</v>
      </c>
      <c r="L28" s="8" t="n">
        <v>45850</v>
      </c>
      <c r="M28" s="1" t="n">
        <v>10</v>
      </c>
      <c r="O28" s="1" t="n">
        <v>7.65</v>
      </c>
      <c r="P28" s="1" t="n">
        <v>9</v>
      </c>
      <c r="Q28" s="6" t="n">
        <f aca="false">ROUND(AVERAGE(P28,O28,M28,K28,I28),0)</f>
        <v>8</v>
      </c>
      <c r="U28" s="1" t="n">
        <v>9</v>
      </c>
      <c r="V28" s="1" t="s">
        <v>123</v>
      </c>
      <c r="W28" s="1" t="n">
        <v>8</v>
      </c>
      <c r="X28" s="1" t="n">
        <v>7</v>
      </c>
      <c r="Y28" s="1" t="n">
        <v>8</v>
      </c>
      <c r="AA28" s="3" t="n">
        <f aca="false">Y28+Z28/2</f>
        <v>8</v>
      </c>
      <c r="AB28" s="6" t="n">
        <f aca="false">ROUND(AVERAGE(U28,X28,AA28,Y28),0)</f>
        <v>8</v>
      </c>
      <c r="AD28" s="6" t="n">
        <f aca="false">ROUND(AVERAGE(Q28,AB28),0)</f>
        <v>8</v>
      </c>
    </row>
  </sheetData>
  <conditionalFormatting sqref="AB3:AB28">
    <cfRule type="cellIs" priority="2" operator="greaterThan" aboveAverage="0" equalAverage="0" bottom="0" percent="0" rank="0" text="" dxfId="1">
      <formula>6</formula>
    </cfRule>
    <cfRule type="cellIs" priority="3" operator="between" aboveAverage="0" equalAverage="0" bottom="0" percent="0" rank="0" text="" dxfId="2">
      <formula>4</formula>
      <formula>6</formula>
    </cfRule>
    <cfRule type="cellIs" priority="4" operator="lessThan" aboveAverage="0" equalAverage="0" bottom="0" percent="0" rank="0" text="" dxfId="4">
      <formula>4</formula>
    </cfRule>
  </conditionalFormatting>
  <conditionalFormatting sqref="Q3:Q28">
    <cfRule type="cellIs" priority="5" operator="greaterThan" aboveAverage="0" equalAverage="0" bottom="0" percent="0" rank="0" text="" dxfId="0">
      <formula>6</formula>
    </cfRule>
    <cfRule type="cellIs" priority="6" operator="between" aboveAverage="0" equalAverage="0" bottom="0" percent="0" rank="0" text="" dxfId="5">
      <formula>4</formula>
      <formula>6</formula>
    </cfRule>
    <cfRule type="cellIs" priority="7" operator="lessThan" aboveAverage="0" equalAverage="0" bottom="0" percent="0" rank="0" text="" dxfId="6">
      <formula>4</formula>
    </cfRule>
  </conditionalFormatting>
  <conditionalFormatting sqref="AD3:AD28">
    <cfRule type="cellIs" priority="8" operator="greaterThan" aboveAverage="0" equalAverage="0" bottom="0" percent="0" rank="0" text="" dxfId="7">
      <formula>6</formula>
    </cfRule>
    <cfRule type="cellIs" priority="9" operator="between" aboveAverage="0" equalAverage="0" bottom="0" percent="0" rank="0" text="" dxfId="5">
      <formula>4</formula>
      <formula>6</formula>
    </cfRule>
    <cfRule type="cellIs" priority="10" operator="lessThan" aboveAverage="0" equalAverage="0" bottom="0" percent="0" rank="0" text="" dxfId="6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1" activeCellId="0" sqref="G1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3.26"/>
    <col collapsed="false" customWidth="true" hidden="false" outlineLevel="0" max="3" min="2" style="1" width="19.54"/>
    <col collapsed="false" customWidth="true" hidden="false" outlineLevel="0" max="4" min="4" style="1" width="22.2"/>
    <col collapsed="false" customWidth="true" hidden="false" outlineLevel="0" max="5" min="5" style="1" width="21.51"/>
    <col collapsed="false" customWidth="true" hidden="false" outlineLevel="0" max="6" min="6" style="1" width="16.47"/>
  </cols>
  <sheetData>
    <row r="1" customFormat="false" ht="15" hidden="false" customHeight="false" outlineLevel="0" collapsed="false">
      <c r="C1" s="1" t="s">
        <v>5</v>
      </c>
      <c r="D1" s="1" t="s">
        <v>128</v>
      </c>
      <c r="E1" s="1" t="s">
        <v>129</v>
      </c>
      <c r="F1" s="1" t="s">
        <v>130</v>
      </c>
      <c r="G1" s="1" t="s">
        <v>108</v>
      </c>
      <c r="H1" s="1" t="s">
        <v>131</v>
      </c>
      <c r="I1" s="1" t="s">
        <v>120</v>
      </c>
    </row>
    <row r="2" customFormat="false" ht="15" hidden="false" customHeight="false" outlineLevel="0" collapsed="false">
      <c r="A2" s="1" t="n">
        <v>1</v>
      </c>
      <c r="B2" s="3" t="s">
        <v>13</v>
      </c>
      <c r="C2" s="1" t="s">
        <v>13</v>
      </c>
      <c r="D2" s="1" t="s">
        <v>132</v>
      </c>
      <c r="E2" s="1" t="s">
        <v>133</v>
      </c>
      <c r="F2" s="1" t="n">
        <v>7</v>
      </c>
      <c r="I2" s="1" t="n">
        <v>7</v>
      </c>
    </row>
    <row r="3" customFormat="false" ht="15" hidden="false" customHeight="false" outlineLevel="0" collapsed="false">
      <c r="A3" s="1" t="n">
        <v>2</v>
      </c>
      <c r="B3" s="3" t="s">
        <v>19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22</v>
      </c>
      <c r="C4" s="1" t="s">
        <v>22</v>
      </c>
      <c r="D4" s="1" t="s">
        <v>134</v>
      </c>
      <c r="E4" s="1" t="s">
        <v>135</v>
      </c>
      <c r="F4" s="1" t="n">
        <v>7</v>
      </c>
      <c r="G4" s="1" t="n">
        <f aca="false">AVERAGE(F4:F5)</f>
        <v>4.5</v>
      </c>
      <c r="H4" s="1" t="n">
        <v>2</v>
      </c>
      <c r="I4" s="1" t="n">
        <f aca="false">ROUND(MAX(H4,G4),0)</f>
        <v>5</v>
      </c>
    </row>
    <row r="5" customFormat="false" ht="15" hidden="false" customHeight="false" outlineLevel="0" collapsed="false">
      <c r="C5" s="1" t="s">
        <v>22</v>
      </c>
      <c r="D5" s="1" t="s">
        <v>136</v>
      </c>
      <c r="E5" s="1" t="s">
        <v>137</v>
      </c>
      <c r="F5" s="1" t="n">
        <v>2</v>
      </c>
    </row>
    <row r="6" customFormat="false" ht="15" hidden="false" customHeight="false" outlineLevel="0" collapsed="false">
      <c r="A6" s="1" t="n">
        <v>4</v>
      </c>
      <c r="B6" s="3" t="s">
        <v>26</v>
      </c>
      <c r="C6" s="1" t="s">
        <v>26</v>
      </c>
      <c r="D6" s="1" t="s">
        <v>138</v>
      </c>
      <c r="E6" s="1" t="s">
        <v>139</v>
      </c>
      <c r="F6" s="1" t="n">
        <v>10</v>
      </c>
      <c r="G6" s="1" t="n">
        <f aca="false">AVERAGE(F6:F7)</f>
        <v>8.5</v>
      </c>
      <c r="H6" s="1" t="n">
        <v>7</v>
      </c>
      <c r="I6" s="1" t="n">
        <f aca="false">ROUND(MAX(H6,G6),0)</f>
        <v>9</v>
      </c>
    </row>
    <row r="7" customFormat="false" ht="15" hidden="false" customHeight="false" outlineLevel="0" collapsed="false">
      <c r="C7" s="1" t="s">
        <v>26</v>
      </c>
      <c r="D7" s="1" t="s">
        <v>140</v>
      </c>
      <c r="E7" s="1" t="s">
        <v>141</v>
      </c>
      <c r="F7" s="1" t="n">
        <v>7</v>
      </c>
    </row>
    <row r="8" customFormat="false" ht="15" hidden="false" customHeight="false" outlineLevel="0" collapsed="false">
      <c r="A8" s="1" t="n">
        <v>5</v>
      </c>
      <c r="B8" s="3" t="s">
        <v>29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6</v>
      </c>
      <c r="B9" s="3" t="s">
        <v>32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7</v>
      </c>
      <c r="B10" s="3" t="s">
        <v>35</v>
      </c>
      <c r="C10" s="1" t="s">
        <v>35</v>
      </c>
      <c r="D10" s="1" t="s">
        <v>142</v>
      </c>
      <c r="E10" s="1" t="s">
        <v>143</v>
      </c>
      <c r="F10" s="1" t="n">
        <v>8</v>
      </c>
      <c r="G10" s="1" t="n">
        <f aca="false">AVERAGE(F10:F14)</f>
        <v>5.8</v>
      </c>
      <c r="H10" s="1" t="n">
        <v>7</v>
      </c>
      <c r="I10" s="1" t="n">
        <f aca="false">ROUND(MAX(H10,G10),0)</f>
        <v>7</v>
      </c>
    </row>
    <row r="11" customFormat="false" ht="15" hidden="false" customHeight="false" outlineLevel="0" collapsed="false">
      <c r="C11" s="1" t="s">
        <v>35</v>
      </c>
      <c r="D11" s="1" t="s">
        <v>144</v>
      </c>
      <c r="E11" s="1" t="s">
        <v>145</v>
      </c>
      <c r="F11" s="1" t="n">
        <v>7</v>
      </c>
    </row>
    <row r="12" customFormat="false" ht="15" hidden="false" customHeight="false" outlineLevel="0" collapsed="false">
      <c r="C12" s="1" t="s">
        <v>35</v>
      </c>
      <c r="D12" s="1" t="s">
        <v>146</v>
      </c>
      <c r="E12" s="1" t="s">
        <v>147</v>
      </c>
      <c r="F12" s="1" t="n">
        <v>6</v>
      </c>
    </row>
    <row r="13" customFormat="false" ht="15" hidden="false" customHeight="false" outlineLevel="0" collapsed="false">
      <c r="C13" s="1" t="s">
        <v>35</v>
      </c>
      <c r="D13" s="1" t="s">
        <v>148</v>
      </c>
      <c r="E13" s="1" t="s">
        <v>147</v>
      </c>
      <c r="F13" s="1" t="n">
        <v>4</v>
      </c>
    </row>
    <row r="14" customFormat="false" ht="15" hidden="false" customHeight="false" outlineLevel="0" collapsed="false">
      <c r="C14" s="1" t="s">
        <v>35</v>
      </c>
      <c r="D14" s="1" t="s">
        <v>149</v>
      </c>
      <c r="E14" s="1" t="s">
        <v>150</v>
      </c>
      <c r="F14" s="1" t="n">
        <v>4</v>
      </c>
    </row>
    <row r="15" customFormat="false" ht="15" hidden="false" customHeight="false" outlineLevel="0" collapsed="false">
      <c r="A15" s="1" t="n">
        <v>8</v>
      </c>
      <c r="B15" s="3" t="s">
        <v>39</v>
      </c>
      <c r="C15" s="1" t="s">
        <v>39</v>
      </c>
      <c r="D15" s="1" t="s">
        <v>151</v>
      </c>
      <c r="E15" s="1" t="s">
        <v>152</v>
      </c>
      <c r="F15" s="1" t="n">
        <v>8</v>
      </c>
      <c r="I15" s="14" t="n">
        <v>8</v>
      </c>
    </row>
    <row r="16" customFormat="false" ht="15" hidden="false" customHeight="false" outlineLevel="0" collapsed="false">
      <c r="A16" s="1" t="n">
        <v>9</v>
      </c>
      <c r="B16" s="3" t="s">
        <v>42</v>
      </c>
      <c r="C16" s="1" t="s">
        <v>42</v>
      </c>
      <c r="D16" s="1" t="s">
        <v>144</v>
      </c>
      <c r="E16" s="1" t="s">
        <v>153</v>
      </c>
      <c r="F16" s="1" t="n">
        <v>9</v>
      </c>
      <c r="I16" s="2" t="n">
        <v>9</v>
      </c>
    </row>
    <row r="17" customFormat="false" ht="15" hidden="false" customHeight="false" outlineLevel="0" collapsed="false">
      <c r="A17" s="1" t="n">
        <v>10</v>
      </c>
      <c r="B17" s="3" t="s">
        <v>45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11</v>
      </c>
      <c r="B18" s="3" t="s">
        <v>48</v>
      </c>
      <c r="C18" s="1" t="s">
        <v>48</v>
      </c>
      <c r="D18" s="1" t="s">
        <v>154</v>
      </c>
      <c r="E18" s="1" t="s">
        <v>155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12</v>
      </c>
      <c r="B19" s="3" t="s">
        <v>51</v>
      </c>
      <c r="C19" s="1" t="s">
        <v>51</v>
      </c>
      <c r="D19" s="1" t="s">
        <v>156</v>
      </c>
      <c r="E19" s="1" t="s">
        <v>147</v>
      </c>
      <c r="F19" s="1" t="n">
        <v>9</v>
      </c>
      <c r="I19" s="1" t="n">
        <v>9</v>
      </c>
    </row>
    <row r="20" customFormat="false" ht="15" hidden="false" customHeight="false" outlineLevel="0" collapsed="false">
      <c r="A20" s="1" t="n">
        <v>13</v>
      </c>
      <c r="B20" s="3" t="s">
        <v>54</v>
      </c>
      <c r="C20" s="1" t="s">
        <v>54</v>
      </c>
      <c r="D20" s="1" t="s">
        <v>157</v>
      </c>
      <c r="E20" s="1" t="s">
        <v>158</v>
      </c>
      <c r="F20" s="1" t="n">
        <v>8</v>
      </c>
      <c r="G20" s="1" t="n">
        <f aca="false">AVERAGE(F20:F21)</f>
        <v>8</v>
      </c>
      <c r="H20" s="1" t="n">
        <v>8</v>
      </c>
      <c r="I20" s="1" t="n">
        <f aca="false">ROUND(MAX(H20,G20),0)</f>
        <v>8</v>
      </c>
    </row>
    <row r="21" customFormat="false" ht="15" hidden="false" customHeight="false" outlineLevel="0" collapsed="false">
      <c r="C21" s="1" t="s">
        <v>54</v>
      </c>
      <c r="D21" s="1" t="s">
        <v>159</v>
      </c>
      <c r="E21" s="1" t="s">
        <v>160</v>
      </c>
      <c r="F21" s="1" t="n">
        <v>8</v>
      </c>
    </row>
    <row r="22" customFormat="false" ht="15" hidden="false" customHeight="false" outlineLevel="0" collapsed="false">
      <c r="A22" s="1" t="n">
        <v>14</v>
      </c>
      <c r="B22" s="3" t="s">
        <v>58</v>
      </c>
      <c r="C22" s="1" t="s">
        <v>58</v>
      </c>
      <c r="D22" s="1" t="s">
        <v>161</v>
      </c>
      <c r="E22" s="1" t="s">
        <v>162</v>
      </c>
      <c r="F22" s="1" t="n">
        <v>9</v>
      </c>
      <c r="G22" s="1" t="n">
        <f aca="false">AVERAGE(F22:F28)</f>
        <v>7.57142857142857</v>
      </c>
      <c r="H22" s="1" t="n">
        <v>5</v>
      </c>
      <c r="I22" s="1" t="n">
        <f aca="false">ROUND(MAX(H22,G22),0)</f>
        <v>8</v>
      </c>
    </row>
    <row r="23" customFormat="false" ht="15" hidden="false" customHeight="false" outlineLevel="0" collapsed="false">
      <c r="C23" s="1" t="s">
        <v>58</v>
      </c>
      <c r="D23" s="1" t="s">
        <v>163</v>
      </c>
      <c r="E23" s="1" t="s">
        <v>164</v>
      </c>
      <c r="F23" s="1" t="n">
        <v>9</v>
      </c>
    </row>
    <row r="24" customFormat="false" ht="15" hidden="false" customHeight="false" outlineLevel="0" collapsed="false">
      <c r="C24" s="1" t="s">
        <v>58</v>
      </c>
      <c r="D24" s="1" t="s">
        <v>165</v>
      </c>
      <c r="E24" s="1" t="s">
        <v>166</v>
      </c>
      <c r="F24" s="1" t="n">
        <v>9</v>
      </c>
    </row>
    <row r="25" customFormat="false" ht="15" hidden="false" customHeight="false" outlineLevel="0" collapsed="false">
      <c r="C25" s="1" t="s">
        <v>58</v>
      </c>
      <c r="D25" s="1" t="s">
        <v>167</v>
      </c>
      <c r="E25" s="1" t="s">
        <v>168</v>
      </c>
      <c r="F25" s="1" t="n">
        <v>9</v>
      </c>
    </row>
    <row r="26" customFormat="false" ht="15" hidden="false" customHeight="false" outlineLevel="0" collapsed="false">
      <c r="C26" s="1" t="s">
        <v>58</v>
      </c>
      <c r="D26" s="1" t="s">
        <v>169</v>
      </c>
      <c r="E26" s="1" t="s">
        <v>170</v>
      </c>
      <c r="F26" s="1" t="n">
        <v>9</v>
      </c>
    </row>
    <row r="27" customFormat="false" ht="15" hidden="false" customHeight="false" outlineLevel="0" collapsed="false">
      <c r="C27" s="1" t="s">
        <v>58</v>
      </c>
      <c r="D27" s="1" t="s">
        <v>171</v>
      </c>
      <c r="E27" s="1" t="s">
        <v>143</v>
      </c>
      <c r="F27" s="1" t="n">
        <v>5</v>
      </c>
    </row>
    <row r="28" customFormat="false" ht="15" hidden="false" customHeight="false" outlineLevel="0" collapsed="false">
      <c r="C28" s="1" t="s">
        <v>58</v>
      </c>
      <c r="D28" s="1" t="s">
        <v>172</v>
      </c>
      <c r="E28" s="1" t="s">
        <v>173</v>
      </c>
      <c r="F28" s="1" t="n">
        <v>3</v>
      </c>
    </row>
    <row r="29" customFormat="false" ht="15" hidden="false" customHeight="false" outlineLevel="0" collapsed="false">
      <c r="A29" s="1" t="n">
        <v>15</v>
      </c>
      <c r="B29" s="3" t="s">
        <v>61</v>
      </c>
      <c r="C29" s="1" t="s">
        <v>61</v>
      </c>
      <c r="D29" s="1" t="s">
        <v>174</v>
      </c>
      <c r="E29" s="1" t="s">
        <v>175</v>
      </c>
      <c r="F29" s="1" t="n">
        <v>9</v>
      </c>
      <c r="G29" s="1" t="n">
        <f aca="false">AVERAGE(F29:F30)</f>
        <v>7.5</v>
      </c>
      <c r="H29" s="1" t="n">
        <v>2</v>
      </c>
      <c r="I29" s="1" t="n">
        <f aca="false">ROUND(MAX(H29,G29),0)</f>
        <v>8</v>
      </c>
    </row>
    <row r="30" customFormat="false" ht="15" hidden="false" customHeight="false" outlineLevel="0" collapsed="false">
      <c r="C30" s="1" t="s">
        <v>61</v>
      </c>
      <c r="D30" s="1" t="s">
        <v>171</v>
      </c>
      <c r="E30" s="1" t="s">
        <v>176</v>
      </c>
      <c r="F30" s="1" t="n">
        <v>6</v>
      </c>
    </row>
    <row r="31" customFormat="false" ht="15" hidden="false" customHeight="false" outlineLevel="0" collapsed="false">
      <c r="A31" s="1" t="n">
        <v>16</v>
      </c>
      <c r="B31" s="3" t="s">
        <v>64</v>
      </c>
      <c r="C31" s="1" t="s">
        <v>64</v>
      </c>
      <c r="D31" s="1" t="s">
        <v>177</v>
      </c>
      <c r="E31" s="1" t="s">
        <v>178</v>
      </c>
      <c r="F31" s="1" t="n">
        <v>9</v>
      </c>
      <c r="G31" s="1" t="n">
        <f aca="false">AVERAGE(F31:F36)</f>
        <v>5.16666666666667</v>
      </c>
      <c r="H31" s="1" t="n">
        <v>8</v>
      </c>
      <c r="I31" s="1" t="n">
        <f aca="false">ROUND(MAX(H31,G31),0)</f>
        <v>8</v>
      </c>
    </row>
    <row r="32" customFormat="false" ht="15" hidden="false" customHeight="false" outlineLevel="0" collapsed="false">
      <c r="C32" s="1" t="s">
        <v>64</v>
      </c>
      <c r="D32" s="1" t="s">
        <v>179</v>
      </c>
      <c r="E32" s="1" t="s">
        <v>180</v>
      </c>
      <c r="F32" s="1" t="n">
        <v>8</v>
      </c>
    </row>
    <row r="33" customFormat="false" ht="15" hidden="false" customHeight="false" outlineLevel="0" collapsed="false">
      <c r="C33" s="1" t="s">
        <v>64</v>
      </c>
      <c r="D33" s="1" t="s">
        <v>181</v>
      </c>
      <c r="E33" s="1" t="s">
        <v>182</v>
      </c>
      <c r="F33" s="1" t="n">
        <v>6</v>
      </c>
    </row>
    <row r="34" customFormat="false" ht="15" hidden="false" customHeight="false" outlineLevel="0" collapsed="false">
      <c r="C34" s="1" t="s">
        <v>64</v>
      </c>
      <c r="D34" s="1" t="s">
        <v>183</v>
      </c>
      <c r="E34" s="1" t="s">
        <v>158</v>
      </c>
      <c r="F34" s="1" t="n">
        <v>4</v>
      </c>
    </row>
    <row r="35" customFormat="false" ht="15" hidden="false" customHeight="false" outlineLevel="0" collapsed="false">
      <c r="C35" s="1" t="s">
        <v>64</v>
      </c>
      <c r="D35" s="1" t="s">
        <v>184</v>
      </c>
      <c r="E35" s="1" t="s">
        <v>185</v>
      </c>
      <c r="F35" s="1" t="n">
        <v>2</v>
      </c>
    </row>
    <row r="36" customFormat="false" ht="15" hidden="false" customHeight="false" outlineLevel="0" collapsed="false">
      <c r="C36" s="1" t="s">
        <v>64</v>
      </c>
      <c r="D36" s="1" t="s">
        <v>186</v>
      </c>
      <c r="E36" s="1" t="s">
        <v>187</v>
      </c>
      <c r="F36" s="1" t="n">
        <v>2</v>
      </c>
    </row>
    <row r="37" customFormat="false" ht="15" hidden="false" customHeight="false" outlineLevel="0" collapsed="false">
      <c r="A37" s="1" t="n">
        <v>17</v>
      </c>
      <c r="B37" s="3" t="s">
        <v>68</v>
      </c>
      <c r="C37" s="1" t="s">
        <v>68</v>
      </c>
      <c r="D37" s="1" t="s">
        <v>188</v>
      </c>
      <c r="E37" s="1" t="s">
        <v>189</v>
      </c>
      <c r="F37" s="1" t="n">
        <v>10</v>
      </c>
      <c r="I37" s="1" t="n">
        <v>10</v>
      </c>
    </row>
    <row r="38" customFormat="false" ht="15" hidden="false" customHeight="false" outlineLevel="0" collapsed="false">
      <c r="A38" s="1" t="n">
        <v>18</v>
      </c>
      <c r="B38" s="3" t="s">
        <v>71</v>
      </c>
      <c r="C38" s="1" t="s">
        <v>71</v>
      </c>
      <c r="D38" s="1" t="s">
        <v>149</v>
      </c>
      <c r="E38" s="1" t="s">
        <v>158</v>
      </c>
      <c r="F38" s="1" t="n">
        <v>9</v>
      </c>
      <c r="G38" s="1" t="n">
        <f aca="false">AVERAGE(F38:F39)</f>
        <v>7</v>
      </c>
      <c r="H38" s="1" t="n">
        <v>5</v>
      </c>
      <c r="I38" s="1" t="n">
        <f aca="false">ROUND(MAX(H38,G38),0)</f>
        <v>7</v>
      </c>
    </row>
    <row r="39" customFormat="false" ht="15" hidden="false" customHeight="false" outlineLevel="0" collapsed="false">
      <c r="C39" s="1" t="s">
        <v>71</v>
      </c>
      <c r="D39" s="1" t="s">
        <v>190</v>
      </c>
      <c r="E39" s="1" t="s">
        <v>191</v>
      </c>
      <c r="F39" s="1" t="n">
        <v>5</v>
      </c>
    </row>
    <row r="40" customFormat="false" ht="15" hidden="false" customHeight="false" outlineLevel="0" collapsed="false">
      <c r="A40" s="1" t="n">
        <v>19</v>
      </c>
      <c r="B40" s="3" t="s">
        <v>74</v>
      </c>
      <c r="C40" s="1" t="s">
        <v>74</v>
      </c>
      <c r="D40" s="1" t="s">
        <v>192</v>
      </c>
      <c r="E40" s="1" t="s">
        <v>193</v>
      </c>
      <c r="F40" s="1" t="n">
        <v>10</v>
      </c>
      <c r="G40" s="1" t="n">
        <f aca="false">AVERAGE(F40:F41)</f>
        <v>7.5</v>
      </c>
      <c r="H40" s="1" t="n">
        <v>5</v>
      </c>
      <c r="I40" s="1" t="n">
        <f aca="false">ROUND(MAX(H40,G40),0)</f>
        <v>8</v>
      </c>
    </row>
    <row r="41" customFormat="false" ht="15" hidden="false" customHeight="false" outlineLevel="0" collapsed="false">
      <c r="C41" s="1" t="s">
        <v>74</v>
      </c>
      <c r="D41" s="1" t="s">
        <v>194</v>
      </c>
      <c r="E41" s="1" t="s">
        <v>195</v>
      </c>
      <c r="F41" s="1" t="n">
        <v>5</v>
      </c>
    </row>
    <row r="42" customFormat="false" ht="15" hidden="false" customHeight="false" outlineLevel="0" collapsed="false">
      <c r="A42" s="1" t="n">
        <v>20</v>
      </c>
      <c r="B42" s="3" t="s">
        <v>77</v>
      </c>
      <c r="C42" s="1" t="s">
        <v>77</v>
      </c>
      <c r="D42" s="1" t="s">
        <v>196</v>
      </c>
      <c r="E42" s="1" t="s">
        <v>197</v>
      </c>
      <c r="F42" s="1" t="n">
        <v>10</v>
      </c>
      <c r="G42" s="1" t="n">
        <f aca="false">AVERAGE(F42:F45)</f>
        <v>7.5</v>
      </c>
      <c r="H42" s="1" t="n">
        <v>8</v>
      </c>
      <c r="I42" s="1" t="n">
        <f aca="false">ROUND(MAX(H42,G42),0)</f>
        <v>8</v>
      </c>
    </row>
    <row r="43" customFormat="false" ht="15" hidden="false" customHeight="false" outlineLevel="0" collapsed="false">
      <c r="C43" s="1" t="s">
        <v>77</v>
      </c>
      <c r="D43" s="1" t="s">
        <v>151</v>
      </c>
      <c r="E43" s="1" t="s">
        <v>198</v>
      </c>
      <c r="F43" s="1" t="n">
        <v>8</v>
      </c>
    </row>
    <row r="44" customFormat="false" ht="15" hidden="false" customHeight="false" outlineLevel="0" collapsed="false">
      <c r="C44" s="1" t="s">
        <v>77</v>
      </c>
      <c r="D44" s="1" t="s">
        <v>199</v>
      </c>
      <c r="E44" s="1" t="s">
        <v>150</v>
      </c>
      <c r="F44" s="1" t="n">
        <v>8</v>
      </c>
    </row>
    <row r="45" customFormat="false" ht="15" hidden="false" customHeight="false" outlineLevel="0" collapsed="false">
      <c r="C45" s="1" t="s">
        <v>77</v>
      </c>
      <c r="D45" s="1" t="s">
        <v>149</v>
      </c>
      <c r="E45" s="1" t="s">
        <v>147</v>
      </c>
      <c r="F45" s="1" t="n">
        <v>4</v>
      </c>
    </row>
    <row r="46" customFormat="false" ht="15" hidden="false" customHeight="false" outlineLevel="0" collapsed="false">
      <c r="A46" s="1" t="n">
        <v>21</v>
      </c>
      <c r="B46" s="3" t="s">
        <v>81</v>
      </c>
      <c r="C46" s="1" t="s">
        <v>81</v>
      </c>
      <c r="D46" s="1" t="s">
        <v>200</v>
      </c>
      <c r="E46" s="1" t="s">
        <v>201</v>
      </c>
      <c r="F46" s="1" t="n">
        <v>10</v>
      </c>
      <c r="I46" s="2" t="n">
        <v>10</v>
      </c>
    </row>
    <row r="47" customFormat="false" ht="15" hidden="false" customHeight="false" outlineLevel="0" collapsed="false">
      <c r="A47" s="1" t="n">
        <v>22</v>
      </c>
      <c r="B47" s="3" t="s">
        <v>84</v>
      </c>
      <c r="C47" s="1" t="s">
        <v>84</v>
      </c>
      <c r="D47" s="1" t="s">
        <v>202</v>
      </c>
      <c r="E47" s="1" t="s">
        <v>135</v>
      </c>
      <c r="F47" s="1" t="n">
        <v>10</v>
      </c>
      <c r="G47" s="1" t="n">
        <f aca="false">AVERAGE(F47:F51)</f>
        <v>7.4</v>
      </c>
      <c r="H47" s="1" t="n">
        <v>9</v>
      </c>
      <c r="I47" s="1" t="n">
        <f aca="false">ROUND(MAX(H47,G47),0)</f>
        <v>9</v>
      </c>
    </row>
    <row r="48" customFormat="false" ht="15" hidden="false" customHeight="false" outlineLevel="0" collapsed="false">
      <c r="C48" s="1" t="s">
        <v>84</v>
      </c>
      <c r="D48" s="1" t="s">
        <v>203</v>
      </c>
      <c r="E48" s="1" t="s">
        <v>204</v>
      </c>
      <c r="F48" s="1" t="n">
        <v>9</v>
      </c>
    </row>
    <row r="49" customFormat="false" ht="15" hidden="false" customHeight="false" outlineLevel="0" collapsed="false">
      <c r="C49" s="1" t="s">
        <v>84</v>
      </c>
      <c r="D49" s="1" t="s">
        <v>205</v>
      </c>
      <c r="E49" s="1" t="s">
        <v>206</v>
      </c>
      <c r="F49" s="1" t="n">
        <v>9</v>
      </c>
    </row>
    <row r="50" customFormat="false" ht="15" hidden="false" customHeight="false" outlineLevel="0" collapsed="false">
      <c r="C50" s="1" t="s">
        <v>84</v>
      </c>
      <c r="D50" s="1" t="s">
        <v>207</v>
      </c>
      <c r="E50" s="1" t="s">
        <v>208</v>
      </c>
      <c r="F50" s="1" t="n">
        <v>5</v>
      </c>
    </row>
    <row r="51" customFormat="false" ht="15" hidden="false" customHeight="false" outlineLevel="0" collapsed="false">
      <c r="C51" s="1" t="s">
        <v>84</v>
      </c>
      <c r="D51" s="1" t="s">
        <v>209</v>
      </c>
      <c r="E51" s="1" t="s">
        <v>210</v>
      </c>
      <c r="F51" s="1" t="n">
        <v>4</v>
      </c>
    </row>
    <row r="52" customFormat="false" ht="15" hidden="false" customHeight="false" outlineLevel="0" collapsed="false">
      <c r="A52" s="1" t="n">
        <v>23</v>
      </c>
      <c r="B52" s="3" t="s">
        <v>87</v>
      </c>
      <c r="C52" s="1" t="s">
        <v>87</v>
      </c>
      <c r="D52" s="1" t="s">
        <v>211</v>
      </c>
      <c r="E52" s="1" t="s">
        <v>147</v>
      </c>
      <c r="F52" s="1" t="n">
        <v>10</v>
      </c>
      <c r="G52" s="1" t="n">
        <f aca="false">AVERAGE(F52:F53)</f>
        <v>8.5</v>
      </c>
      <c r="H52" s="1" t="n">
        <v>2</v>
      </c>
      <c r="I52" s="1" t="n">
        <f aca="false">ROUND(MAX(H52,G52),0)</f>
        <v>9</v>
      </c>
    </row>
    <row r="53" customFormat="false" ht="15" hidden="false" customHeight="false" outlineLevel="0" collapsed="false">
      <c r="C53" s="1" t="s">
        <v>87</v>
      </c>
      <c r="D53" s="1" t="s">
        <v>212</v>
      </c>
      <c r="E53" s="1" t="s">
        <v>213</v>
      </c>
      <c r="F53" s="1" t="n">
        <v>7</v>
      </c>
    </row>
    <row r="54" customFormat="false" ht="15" hidden="false" customHeight="false" outlineLevel="0" collapsed="false">
      <c r="A54" s="1" t="n">
        <v>24</v>
      </c>
      <c r="B54" s="3" t="s">
        <v>90</v>
      </c>
      <c r="C54" s="1" t="s">
        <v>90</v>
      </c>
      <c r="D54" s="1" t="s">
        <v>214</v>
      </c>
      <c r="E54" s="1" t="s">
        <v>215</v>
      </c>
      <c r="F54" s="1" t="n">
        <v>10</v>
      </c>
      <c r="I54" s="1" t="n">
        <v>10</v>
      </c>
    </row>
    <row r="55" customFormat="false" ht="15" hidden="false" customHeight="false" outlineLevel="0" collapsed="false">
      <c r="A55" s="1" t="n">
        <v>25</v>
      </c>
      <c r="B55" s="3" t="s">
        <v>95</v>
      </c>
      <c r="C55" s="1" t="s">
        <v>95</v>
      </c>
      <c r="D55" s="1" t="s">
        <v>216</v>
      </c>
      <c r="E55" s="1" t="s">
        <v>213</v>
      </c>
      <c r="F55" s="1" t="n">
        <v>8</v>
      </c>
      <c r="I55" s="1" t="n">
        <v>8</v>
      </c>
    </row>
    <row r="56" customFormat="false" ht="15" hidden="false" customHeight="false" outlineLevel="0" collapsed="false">
      <c r="A56" s="1" t="n">
        <v>26</v>
      </c>
      <c r="B56" s="3" t="s">
        <v>98</v>
      </c>
      <c r="C56" s="1" t="s">
        <v>98</v>
      </c>
      <c r="D56" s="1" t="s">
        <v>217</v>
      </c>
      <c r="E56" s="1" t="s">
        <v>218</v>
      </c>
      <c r="F56" s="1" t="n">
        <v>7</v>
      </c>
      <c r="I56" s="1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4.34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5</v>
      </c>
      <c r="D1" s="1" t="s">
        <v>128</v>
      </c>
      <c r="E1" s="1" t="s">
        <v>129</v>
      </c>
      <c r="F1" s="1" t="s">
        <v>130</v>
      </c>
      <c r="G1" s="1" t="s">
        <v>108</v>
      </c>
      <c r="H1" s="1" t="s">
        <v>131</v>
      </c>
      <c r="I1" s="1" t="s">
        <v>120</v>
      </c>
    </row>
    <row r="2" customFormat="false" ht="15" hidden="false" customHeight="false" outlineLevel="0" collapsed="false">
      <c r="A2" s="1" t="n">
        <v>1</v>
      </c>
      <c r="B2" s="3" t="s">
        <v>13</v>
      </c>
      <c r="C2" s="1" t="s">
        <v>13</v>
      </c>
      <c r="D2" s="1" t="s">
        <v>219</v>
      </c>
      <c r="E2" s="1" t="s">
        <v>220</v>
      </c>
      <c r="F2" s="1" t="n">
        <v>10</v>
      </c>
      <c r="G2" s="1" t="n">
        <f aca="false">AVERAGE(F2:F3)</f>
        <v>8</v>
      </c>
      <c r="H2" s="1" t="n">
        <v>2</v>
      </c>
      <c r="I2" s="1" t="n">
        <f aca="false">ROUND(MAX(H2,G2),0)</f>
        <v>8</v>
      </c>
    </row>
    <row r="3" customFormat="false" ht="15" hidden="false" customHeight="false" outlineLevel="0" collapsed="false">
      <c r="C3" s="1" t="s">
        <v>13</v>
      </c>
      <c r="D3" s="1" t="s">
        <v>221</v>
      </c>
      <c r="E3" s="1" t="s">
        <v>222</v>
      </c>
      <c r="F3" s="1" t="n">
        <v>6</v>
      </c>
    </row>
    <row r="4" customFormat="false" ht="15" hidden="false" customHeight="false" outlineLevel="0" collapsed="false">
      <c r="A4" s="1" t="n">
        <v>2</v>
      </c>
      <c r="B4" s="3" t="s">
        <v>19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3</v>
      </c>
      <c r="B5" s="3" t="s">
        <v>22</v>
      </c>
      <c r="C5" s="1" t="s">
        <v>22</v>
      </c>
      <c r="D5" s="1" t="s">
        <v>223</v>
      </c>
      <c r="E5" s="1" t="s">
        <v>224</v>
      </c>
      <c r="F5" s="1" t="n">
        <v>9</v>
      </c>
      <c r="I5" s="1" t="n">
        <v>9</v>
      </c>
    </row>
    <row r="6" customFormat="false" ht="15" hidden="false" customHeight="false" outlineLevel="0" collapsed="false">
      <c r="A6" s="1" t="n">
        <v>4</v>
      </c>
      <c r="B6" s="3" t="s">
        <v>26</v>
      </c>
      <c r="C6" s="1" t="s">
        <v>26</v>
      </c>
      <c r="D6" s="1" t="s">
        <v>225</v>
      </c>
      <c r="E6" s="1" t="s">
        <v>226</v>
      </c>
      <c r="F6" s="1" t="n">
        <v>7</v>
      </c>
      <c r="I6" s="1" t="n">
        <v>7</v>
      </c>
    </row>
    <row r="7" customFormat="false" ht="15" hidden="false" customHeight="false" outlineLevel="0" collapsed="false">
      <c r="A7" s="1" t="n">
        <v>5</v>
      </c>
      <c r="B7" s="3" t="s">
        <v>29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6</v>
      </c>
      <c r="B8" s="3" t="s">
        <v>32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7</v>
      </c>
      <c r="B9" s="3" t="s">
        <v>35</v>
      </c>
      <c r="C9" s="1" t="s">
        <v>35</v>
      </c>
      <c r="D9" s="1" t="s">
        <v>227</v>
      </c>
      <c r="E9" s="1" t="s">
        <v>228</v>
      </c>
      <c r="F9" s="1" t="n">
        <v>9</v>
      </c>
      <c r="I9" s="1" t="n">
        <v>9</v>
      </c>
    </row>
    <row r="10" customFormat="false" ht="15" hidden="false" customHeight="false" outlineLevel="0" collapsed="false">
      <c r="A10" s="1" t="n">
        <v>8</v>
      </c>
      <c r="B10" s="3" t="s">
        <v>39</v>
      </c>
      <c r="C10" s="1" t="s">
        <v>39</v>
      </c>
      <c r="D10" s="1" t="s">
        <v>229</v>
      </c>
      <c r="E10" s="1" t="s">
        <v>230</v>
      </c>
      <c r="F10" s="1" t="n">
        <v>7</v>
      </c>
      <c r="I10" s="1" t="n">
        <v>7</v>
      </c>
    </row>
    <row r="11" customFormat="false" ht="15" hidden="false" customHeight="false" outlineLevel="0" collapsed="false">
      <c r="A11" s="1" t="n">
        <v>9</v>
      </c>
      <c r="B11" s="3" t="s">
        <v>42</v>
      </c>
      <c r="C11" s="1" t="s">
        <v>42</v>
      </c>
      <c r="D11" s="1" t="s">
        <v>231</v>
      </c>
      <c r="E11" s="1" t="s">
        <v>232</v>
      </c>
      <c r="F11" s="1" t="n">
        <v>9</v>
      </c>
      <c r="G11" s="1" t="n">
        <f aca="false">AVERAGE(F11:F12)</f>
        <v>9</v>
      </c>
      <c r="H11" s="1" t="n">
        <v>2</v>
      </c>
      <c r="I11" s="1" t="n">
        <f aca="false">ROUND(MAX(H11,G11),0)</f>
        <v>9</v>
      </c>
    </row>
    <row r="12" customFormat="false" ht="15" hidden="false" customHeight="false" outlineLevel="0" collapsed="false">
      <c r="C12" s="1" t="s">
        <v>42</v>
      </c>
      <c r="D12" s="1" t="s">
        <v>233</v>
      </c>
      <c r="E12" s="1" t="s">
        <v>234</v>
      </c>
      <c r="F12" s="1" t="n">
        <v>9</v>
      </c>
    </row>
    <row r="13" customFormat="false" ht="15" hidden="false" customHeight="false" outlineLevel="0" collapsed="false">
      <c r="C13" s="1" t="s">
        <v>42</v>
      </c>
      <c r="D13" s="1" t="s">
        <v>235</v>
      </c>
      <c r="E13" s="1" t="s">
        <v>236</v>
      </c>
      <c r="F13" s="1" t="n">
        <v>9</v>
      </c>
    </row>
    <row r="14" customFormat="false" ht="15" hidden="false" customHeight="false" outlineLevel="0" collapsed="false">
      <c r="C14" s="1" t="s">
        <v>42</v>
      </c>
      <c r="D14" s="1" t="s">
        <v>237</v>
      </c>
      <c r="E14" s="1" t="s">
        <v>238</v>
      </c>
      <c r="F14" s="1" t="n">
        <v>2</v>
      </c>
    </row>
    <row r="15" customFormat="false" ht="15" hidden="false" customHeight="false" outlineLevel="0" collapsed="false">
      <c r="A15" s="1" t="n">
        <v>10</v>
      </c>
      <c r="B15" s="3" t="s">
        <v>45</v>
      </c>
      <c r="C15" s="1" t="s">
        <v>45</v>
      </c>
      <c r="D15" s="1" t="s">
        <v>239</v>
      </c>
      <c r="E15" s="1" t="s">
        <v>240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11</v>
      </c>
      <c r="B16" s="3" t="s">
        <v>48</v>
      </c>
      <c r="C16" s="1" t="s">
        <v>48</v>
      </c>
      <c r="D16" s="1" t="s">
        <v>241</v>
      </c>
      <c r="E16" s="1" t="s">
        <v>226</v>
      </c>
      <c r="F16" s="1" t="n">
        <v>8</v>
      </c>
      <c r="I16" s="1" t="n">
        <v>8</v>
      </c>
    </row>
    <row r="17" customFormat="false" ht="15" hidden="false" customHeight="false" outlineLevel="0" collapsed="false">
      <c r="A17" s="1" t="n">
        <v>12</v>
      </c>
      <c r="B17" s="3" t="s">
        <v>51</v>
      </c>
      <c r="C17" s="1" t="s">
        <v>51</v>
      </c>
      <c r="D17" s="1" t="s">
        <v>242</v>
      </c>
      <c r="E17" s="1" t="s">
        <v>243</v>
      </c>
      <c r="F17" s="1" t="n">
        <v>8</v>
      </c>
      <c r="I17" s="1" t="n">
        <v>8</v>
      </c>
    </row>
    <row r="18" customFormat="false" ht="15" hidden="false" customHeight="false" outlineLevel="0" collapsed="false">
      <c r="A18" s="1" t="n">
        <v>13</v>
      </c>
      <c r="B18" s="3" t="s">
        <v>54</v>
      </c>
      <c r="C18" s="1" t="s">
        <v>54</v>
      </c>
      <c r="D18" s="1" t="s">
        <v>244</v>
      </c>
      <c r="E18" s="1" t="s">
        <v>245</v>
      </c>
      <c r="F18" s="1" t="n">
        <v>10</v>
      </c>
      <c r="G18" s="1" t="n">
        <f aca="false">AVERAGE(F18:F19)</f>
        <v>9.5</v>
      </c>
      <c r="H18" s="1" t="n">
        <v>2</v>
      </c>
      <c r="I18" s="1" t="n">
        <f aca="false">ROUND(MAX(H18,G18),0)</f>
        <v>10</v>
      </c>
    </row>
    <row r="19" customFormat="false" ht="15" hidden="false" customHeight="false" outlineLevel="0" collapsed="false">
      <c r="C19" s="1" t="s">
        <v>54</v>
      </c>
      <c r="D19" s="1" t="s">
        <v>246</v>
      </c>
      <c r="E19" s="1" t="s">
        <v>247</v>
      </c>
      <c r="F19" s="1" t="n">
        <v>9</v>
      </c>
    </row>
    <row r="20" customFormat="false" ht="15" hidden="false" customHeight="false" outlineLevel="0" collapsed="false">
      <c r="C20" s="1" t="s">
        <v>54</v>
      </c>
      <c r="D20" s="1" t="s">
        <v>165</v>
      </c>
      <c r="E20" s="1" t="s">
        <v>248</v>
      </c>
      <c r="F20" s="1" t="n">
        <v>9</v>
      </c>
    </row>
    <row r="21" customFormat="false" ht="15" hidden="false" customHeight="false" outlineLevel="0" collapsed="false">
      <c r="C21" s="1" t="s">
        <v>54</v>
      </c>
      <c r="D21" s="1" t="s">
        <v>249</v>
      </c>
      <c r="E21" s="1" t="s">
        <v>250</v>
      </c>
      <c r="F21" s="1" t="n">
        <v>9</v>
      </c>
    </row>
    <row r="22" customFormat="false" ht="15" hidden="false" customHeight="false" outlineLevel="0" collapsed="false">
      <c r="C22" s="1" t="s">
        <v>54</v>
      </c>
      <c r="D22" s="1" t="s">
        <v>251</v>
      </c>
      <c r="E22" s="1" t="s">
        <v>252</v>
      </c>
      <c r="F22" s="1" t="n">
        <v>3</v>
      </c>
    </row>
    <row r="23" customFormat="false" ht="15" hidden="false" customHeight="false" outlineLevel="0" collapsed="false">
      <c r="C23" s="1" t="s">
        <v>54</v>
      </c>
      <c r="D23" s="1" t="s">
        <v>253</v>
      </c>
      <c r="E23" s="1" t="s">
        <v>254</v>
      </c>
      <c r="F23" s="1" t="n">
        <v>0</v>
      </c>
    </row>
    <row r="24" customFormat="false" ht="15" hidden="false" customHeight="false" outlineLevel="0" collapsed="false">
      <c r="A24" s="1" t="n">
        <v>14</v>
      </c>
      <c r="B24" s="3" t="s">
        <v>58</v>
      </c>
      <c r="C24" s="1" t="s">
        <v>58</v>
      </c>
      <c r="D24" s="1" t="s">
        <v>255</v>
      </c>
      <c r="E24" s="1" t="s">
        <v>256</v>
      </c>
      <c r="F24" s="1" t="n">
        <v>5</v>
      </c>
      <c r="I24" s="1" t="n">
        <v>5</v>
      </c>
    </row>
    <row r="25" customFormat="false" ht="15" hidden="false" customHeight="false" outlineLevel="0" collapsed="false">
      <c r="A25" s="1" t="n">
        <v>15</v>
      </c>
      <c r="B25" s="3" t="s">
        <v>61</v>
      </c>
      <c r="C25" s="1" t="s">
        <v>61</v>
      </c>
      <c r="D25" s="1" t="s">
        <v>257</v>
      </c>
      <c r="E25" s="1" t="s">
        <v>258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16</v>
      </c>
      <c r="B26" s="3" t="s">
        <v>64</v>
      </c>
      <c r="C26" s="1" t="s">
        <v>64</v>
      </c>
      <c r="D26" s="1" t="s">
        <v>259</v>
      </c>
      <c r="E26" s="1" t="s">
        <v>260</v>
      </c>
      <c r="F26" s="1" t="n">
        <v>8</v>
      </c>
      <c r="I26" s="1" t="n">
        <v>8</v>
      </c>
    </row>
    <row r="27" customFormat="false" ht="15" hidden="false" customHeight="false" outlineLevel="0" collapsed="false">
      <c r="A27" s="1" t="n">
        <v>17</v>
      </c>
      <c r="B27" s="3" t="s">
        <v>68</v>
      </c>
      <c r="C27" s="1" t="s">
        <v>68</v>
      </c>
      <c r="D27" s="1" t="s">
        <v>261</v>
      </c>
      <c r="E27" s="1" t="s">
        <v>262</v>
      </c>
      <c r="F27" s="1" t="n">
        <v>9</v>
      </c>
      <c r="I27" s="1" t="n">
        <v>9</v>
      </c>
    </row>
    <row r="28" customFormat="false" ht="15" hidden="false" customHeight="false" outlineLevel="0" collapsed="false">
      <c r="A28" s="1" t="n">
        <v>18</v>
      </c>
      <c r="B28" s="3" t="s">
        <v>71</v>
      </c>
      <c r="C28" s="1" t="s">
        <v>71</v>
      </c>
      <c r="D28" s="1" t="s">
        <v>263</v>
      </c>
      <c r="E28" s="1" t="s">
        <v>264</v>
      </c>
      <c r="F28" s="1" t="n">
        <v>6</v>
      </c>
      <c r="G28" s="1" t="n">
        <f aca="false">AVERAGE(F28:F29)</f>
        <v>6</v>
      </c>
      <c r="H28" s="1" t="n">
        <v>2</v>
      </c>
      <c r="I28" s="1" t="n">
        <f aca="false">ROUND(MAX(H28,G28),0)</f>
        <v>6</v>
      </c>
    </row>
    <row r="29" customFormat="false" ht="15" hidden="false" customHeight="false" outlineLevel="0" collapsed="false">
      <c r="C29" s="1" t="s">
        <v>71</v>
      </c>
      <c r="D29" s="1" t="s">
        <v>265</v>
      </c>
      <c r="E29" s="1" t="s">
        <v>266</v>
      </c>
      <c r="F29" s="1" t="n">
        <v>6</v>
      </c>
    </row>
    <row r="30" customFormat="false" ht="15" hidden="false" customHeight="false" outlineLevel="0" collapsed="false">
      <c r="C30" s="1" t="s">
        <v>71</v>
      </c>
      <c r="D30" s="1" t="s">
        <v>267</v>
      </c>
      <c r="E30" s="1" t="s">
        <v>268</v>
      </c>
      <c r="F30" s="1" t="n">
        <v>0</v>
      </c>
    </row>
    <row r="31" customFormat="false" ht="15" hidden="false" customHeight="false" outlineLevel="0" collapsed="false">
      <c r="A31" s="1" t="n">
        <v>19</v>
      </c>
      <c r="B31" s="3" t="s">
        <v>74</v>
      </c>
      <c r="C31" s="1" t="s">
        <v>74</v>
      </c>
      <c r="D31" s="1" t="s">
        <v>269</v>
      </c>
      <c r="E31" s="1" t="s">
        <v>270</v>
      </c>
      <c r="F31" s="1" t="n">
        <v>8</v>
      </c>
      <c r="I31" s="1" t="n">
        <v>8</v>
      </c>
    </row>
    <row r="32" customFormat="false" ht="15" hidden="false" customHeight="false" outlineLevel="0" collapsed="false">
      <c r="A32" s="1" t="n">
        <v>20</v>
      </c>
      <c r="B32" s="3" t="s">
        <v>77</v>
      </c>
      <c r="C32" s="1" t="s">
        <v>77</v>
      </c>
      <c r="D32" s="1" t="s">
        <v>271</v>
      </c>
      <c r="E32" s="1" t="s">
        <v>271</v>
      </c>
      <c r="F32" s="1" t="n">
        <v>1</v>
      </c>
      <c r="I32" s="1" t="n">
        <v>1</v>
      </c>
    </row>
    <row r="33" customFormat="false" ht="15" hidden="false" customHeight="false" outlineLevel="0" collapsed="false">
      <c r="A33" s="1" t="n">
        <v>21</v>
      </c>
      <c r="B33" s="3" t="s">
        <v>81</v>
      </c>
      <c r="C33" s="1" t="s">
        <v>81</v>
      </c>
      <c r="D33" s="1" t="s">
        <v>272</v>
      </c>
      <c r="E33" s="1" t="s">
        <v>273</v>
      </c>
      <c r="F33" s="1" t="n">
        <v>10</v>
      </c>
      <c r="G33" s="1" t="n">
        <f aca="false">AVERAGE(F33:F34)</f>
        <v>10</v>
      </c>
      <c r="H33" s="1" t="n">
        <v>2</v>
      </c>
      <c r="I33" s="1" t="n">
        <f aca="false">ROUND(MAX(H33,G33),0)</f>
        <v>10</v>
      </c>
    </row>
    <row r="34" customFormat="false" ht="15" hidden="false" customHeight="false" outlineLevel="0" collapsed="false">
      <c r="C34" s="1" t="s">
        <v>81</v>
      </c>
      <c r="D34" s="1" t="s">
        <v>274</v>
      </c>
      <c r="E34" s="1" t="s">
        <v>275</v>
      </c>
      <c r="F34" s="1" t="n">
        <v>10</v>
      </c>
    </row>
    <row r="35" customFormat="false" ht="15" hidden="false" customHeight="false" outlineLevel="0" collapsed="false">
      <c r="C35" s="1" t="s">
        <v>81</v>
      </c>
      <c r="D35" s="1" t="s">
        <v>140</v>
      </c>
      <c r="E35" s="1" t="s">
        <v>276</v>
      </c>
      <c r="F35" s="1" t="n">
        <v>9</v>
      </c>
    </row>
    <row r="36" customFormat="false" ht="15" hidden="false" customHeight="false" outlineLevel="0" collapsed="false">
      <c r="C36" s="1" t="s">
        <v>81</v>
      </c>
      <c r="D36" s="1" t="s">
        <v>161</v>
      </c>
      <c r="E36" s="1" t="s">
        <v>277</v>
      </c>
      <c r="F36" s="1" t="n">
        <v>6</v>
      </c>
    </row>
    <row r="37" customFormat="false" ht="15" hidden="false" customHeight="false" outlineLevel="0" collapsed="false">
      <c r="C37" s="1" t="s">
        <v>81</v>
      </c>
      <c r="D37" s="1" t="s">
        <v>278</v>
      </c>
      <c r="E37" s="1" t="s">
        <v>279</v>
      </c>
      <c r="F37" s="1" t="n">
        <v>1</v>
      </c>
    </row>
    <row r="38" customFormat="false" ht="15" hidden="false" customHeight="false" outlineLevel="0" collapsed="false">
      <c r="A38" s="1" t="n">
        <v>22</v>
      </c>
      <c r="B38" s="3" t="s">
        <v>84</v>
      </c>
      <c r="C38" s="1" t="s">
        <v>84</v>
      </c>
      <c r="D38" s="1" t="s">
        <v>194</v>
      </c>
      <c r="E38" s="1" t="s">
        <v>280</v>
      </c>
      <c r="F38" s="1" t="n">
        <v>10</v>
      </c>
      <c r="G38" s="1" t="n">
        <f aca="false">AVERAGE(F38:F39)</f>
        <v>9.5</v>
      </c>
      <c r="H38" s="1" t="n">
        <v>2</v>
      </c>
      <c r="I38" s="1" t="n">
        <f aca="false">ROUND(MAX(H38,G38),0)</f>
        <v>10</v>
      </c>
    </row>
    <row r="39" customFormat="false" ht="15" hidden="false" customHeight="false" outlineLevel="0" collapsed="false">
      <c r="C39" s="1" t="s">
        <v>84</v>
      </c>
      <c r="D39" s="1" t="s">
        <v>281</v>
      </c>
      <c r="E39" s="1" t="s">
        <v>282</v>
      </c>
      <c r="F39" s="1" t="n">
        <v>9</v>
      </c>
    </row>
    <row r="40" customFormat="false" ht="15" hidden="false" customHeight="false" outlineLevel="0" collapsed="false">
      <c r="C40" s="1" t="s">
        <v>84</v>
      </c>
      <c r="D40" s="1" t="s">
        <v>283</v>
      </c>
      <c r="E40" s="1" t="s">
        <v>284</v>
      </c>
      <c r="F40" s="1" t="n">
        <v>8</v>
      </c>
    </row>
    <row r="41" customFormat="false" ht="15" hidden="false" customHeight="false" outlineLevel="0" collapsed="false">
      <c r="C41" s="1" t="s">
        <v>84</v>
      </c>
      <c r="D41" s="1" t="s">
        <v>285</v>
      </c>
      <c r="E41" s="1" t="s">
        <v>286</v>
      </c>
      <c r="F41" s="1" t="n">
        <v>2</v>
      </c>
    </row>
    <row r="42" customFormat="false" ht="15" hidden="false" customHeight="false" outlineLevel="0" collapsed="false">
      <c r="A42" s="1" t="n">
        <v>23</v>
      </c>
      <c r="B42" s="3" t="s">
        <v>87</v>
      </c>
      <c r="C42" s="1" t="s">
        <v>87</v>
      </c>
      <c r="D42" s="1" t="s">
        <v>287</v>
      </c>
      <c r="E42" s="1" t="s">
        <v>288</v>
      </c>
      <c r="F42" s="1" t="n">
        <v>9</v>
      </c>
      <c r="I42" s="1" t="n">
        <v>9</v>
      </c>
    </row>
    <row r="43" customFormat="false" ht="15" hidden="false" customHeight="false" outlineLevel="0" collapsed="false">
      <c r="A43" s="1" t="n">
        <v>24</v>
      </c>
      <c r="B43" s="3" t="s">
        <v>90</v>
      </c>
      <c r="C43" s="1" t="s">
        <v>90</v>
      </c>
      <c r="D43" s="1" t="s">
        <v>242</v>
      </c>
      <c r="E43" s="1" t="s">
        <v>289</v>
      </c>
      <c r="F43" s="1" t="n">
        <v>10</v>
      </c>
      <c r="G43" s="1" t="n">
        <f aca="false">AVERAGE(F43:F44)</f>
        <v>9.5</v>
      </c>
      <c r="H43" s="1" t="n">
        <v>2</v>
      </c>
      <c r="I43" s="1" t="n">
        <f aca="false">ROUND(MAX(H43,G43),0)</f>
        <v>10</v>
      </c>
    </row>
    <row r="44" customFormat="false" ht="15" hidden="false" customHeight="false" outlineLevel="0" collapsed="false">
      <c r="C44" s="1" t="s">
        <v>90</v>
      </c>
      <c r="D44" s="1" t="s">
        <v>290</v>
      </c>
      <c r="E44" s="1" t="s">
        <v>291</v>
      </c>
      <c r="F44" s="1" t="n">
        <v>9</v>
      </c>
    </row>
    <row r="45" customFormat="false" ht="15" hidden="false" customHeight="false" outlineLevel="0" collapsed="false">
      <c r="C45" s="1" t="s">
        <v>90</v>
      </c>
      <c r="D45" s="1" t="s">
        <v>253</v>
      </c>
      <c r="E45" s="1" t="s">
        <v>292</v>
      </c>
      <c r="F45" s="1" t="n">
        <v>7</v>
      </c>
    </row>
    <row r="46" customFormat="false" ht="15" hidden="false" customHeight="false" outlineLevel="0" collapsed="false">
      <c r="A46" s="1" t="n">
        <v>25</v>
      </c>
      <c r="B46" s="3" t="s">
        <v>95</v>
      </c>
      <c r="C46" s="1" t="s">
        <v>95</v>
      </c>
      <c r="D46" s="1" t="s">
        <v>194</v>
      </c>
      <c r="E46" s="1" t="s">
        <v>293</v>
      </c>
      <c r="F46" s="1" t="n">
        <v>9</v>
      </c>
      <c r="G46" s="1" t="n">
        <f aca="false">AVERAGE(F46:F47)</f>
        <v>7.5</v>
      </c>
      <c r="H46" s="1" t="n">
        <v>2</v>
      </c>
      <c r="I46" s="1" t="n">
        <f aca="false">ROUND(MAX(H46,G46),0)</f>
        <v>8</v>
      </c>
    </row>
    <row r="47" customFormat="false" ht="15" hidden="false" customHeight="false" outlineLevel="0" collapsed="false">
      <c r="C47" s="1" t="s">
        <v>95</v>
      </c>
      <c r="D47" s="1" t="s">
        <v>241</v>
      </c>
      <c r="E47" s="1" t="s">
        <v>294</v>
      </c>
      <c r="F47" s="1" t="n">
        <v>6</v>
      </c>
    </row>
    <row r="48" customFormat="false" ht="15" hidden="false" customHeight="false" outlineLevel="0" collapsed="false">
      <c r="A48" s="1" t="n">
        <v>26</v>
      </c>
      <c r="B48" s="3" t="s">
        <v>98</v>
      </c>
      <c r="C48" s="1" t="s">
        <v>98</v>
      </c>
      <c r="D48" s="1" t="s">
        <v>295</v>
      </c>
      <c r="E48" s="1" t="s">
        <v>296</v>
      </c>
      <c r="F48" s="1" t="n">
        <v>7</v>
      </c>
      <c r="I48" s="1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12.3"/>
    <col collapsed="false" customWidth="true" hidden="false" outlineLevel="0" max="2" min="2" style="1" width="22.56"/>
  </cols>
  <sheetData>
    <row r="1" customFormat="false" ht="15" hidden="false" customHeight="false" outlineLevel="0" collapsed="false">
      <c r="A1" s="1" t="s">
        <v>5</v>
      </c>
      <c r="B1" s="1" t="s">
        <v>128</v>
      </c>
      <c r="C1" s="1" t="s">
        <v>129</v>
      </c>
      <c r="D1" s="1" t="s">
        <v>297</v>
      </c>
      <c r="E1" s="1" t="s">
        <v>108</v>
      </c>
      <c r="F1" s="1" t="s">
        <v>131</v>
      </c>
      <c r="G1" s="1" t="s">
        <v>120</v>
      </c>
    </row>
    <row r="2" customFormat="false" ht="15" hidden="false" customHeight="false" outlineLevel="0" collapsed="false">
      <c r="A2" s="1" t="s">
        <v>45</v>
      </c>
      <c r="B2" s="1" t="s">
        <v>298</v>
      </c>
      <c r="C2" s="1" t="s">
        <v>299</v>
      </c>
      <c r="D2" s="1" t="n">
        <v>8</v>
      </c>
      <c r="E2" s="1" t="n">
        <f aca="false">AVERAGE(D2:D5)</f>
        <v>7.25</v>
      </c>
      <c r="F2" s="1" t="n">
        <v>5</v>
      </c>
      <c r="G2" s="1" t="n">
        <f aca="false">ROUND(MAX(F2,E2),0)</f>
        <v>7</v>
      </c>
    </row>
    <row r="3" customFormat="false" ht="15" hidden="false" customHeight="false" outlineLevel="0" collapsed="false">
      <c r="A3" s="1" t="s">
        <v>45</v>
      </c>
      <c r="B3" s="1" t="s">
        <v>300</v>
      </c>
      <c r="C3" s="1" t="s">
        <v>301</v>
      </c>
      <c r="D3" s="1" t="n">
        <v>8</v>
      </c>
    </row>
    <row r="4" customFormat="false" ht="15" hidden="false" customHeight="false" outlineLevel="0" collapsed="false">
      <c r="A4" s="1" t="s">
        <v>45</v>
      </c>
      <c r="B4" s="1" t="s">
        <v>302</v>
      </c>
      <c r="C4" s="1" t="s">
        <v>303</v>
      </c>
      <c r="D4" s="1" t="n">
        <v>8</v>
      </c>
    </row>
    <row r="5" customFormat="false" ht="15" hidden="false" customHeight="false" outlineLevel="0" collapsed="false">
      <c r="A5" s="1" t="s">
        <v>45</v>
      </c>
      <c r="B5" s="1" t="s">
        <v>304</v>
      </c>
      <c r="C5" s="1" t="s">
        <v>305</v>
      </c>
      <c r="D5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25" activeCellId="0" sqref="L25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8.61"/>
    <col collapsed="false" customWidth="true" hidden="true" outlineLevel="0" max="10" min="3" style="1" width="9.62"/>
    <col collapsed="false" customWidth="true" hidden="false" outlineLevel="0" max="1024" min="1005" style="1" width="9.33"/>
  </cols>
  <sheetData>
    <row r="1" customFormat="false" ht="15" hidden="false" customHeight="false" outlineLevel="0" collapsed="false">
      <c r="A1" s="1" t="s">
        <v>4</v>
      </c>
      <c r="B1" s="3" t="s">
        <v>5</v>
      </c>
      <c r="C1" s="4" t="n">
        <v>45772</v>
      </c>
      <c r="D1" s="4" t="n">
        <v>45775</v>
      </c>
      <c r="E1" s="1" t="s">
        <v>106</v>
      </c>
      <c r="F1" s="4" t="n">
        <v>45835</v>
      </c>
      <c r="G1" s="4" t="n">
        <v>45810</v>
      </c>
      <c r="H1" s="4" t="n">
        <v>45817</v>
      </c>
      <c r="I1" s="1" t="s">
        <v>106</v>
      </c>
      <c r="J1" s="4" t="n">
        <v>45887</v>
      </c>
      <c r="K1" s="4" t="n">
        <v>45901</v>
      </c>
    </row>
    <row r="2" customFormat="false" ht="15" hidden="false" customHeight="false" outlineLevel="0" collapsed="false">
      <c r="A2" s="1" t="n">
        <v>1</v>
      </c>
      <c r="B2" s="3" t="s">
        <v>13</v>
      </c>
      <c r="C2" s="1" t="n">
        <v>3</v>
      </c>
      <c r="D2" s="1" t="n">
        <v>2</v>
      </c>
      <c r="E2" s="1" t="n">
        <f aca="false">SUM(C2:D2)</f>
        <v>5</v>
      </c>
      <c r="G2" s="1" t="n">
        <v>5</v>
      </c>
      <c r="I2" s="1" t="n">
        <f aca="false">SUM(E2:H2)</f>
        <v>10</v>
      </c>
    </row>
    <row r="3" customFormat="false" ht="15" hidden="false" customHeight="false" outlineLevel="0" collapsed="false">
      <c r="A3" s="1" t="n">
        <v>2</v>
      </c>
      <c r="B3" s="3" t="s">
        <v>19</v>
      </c>
      <c r="E3" s="1" t="n">
        <f aca="false">SUM(C3:D3)</f>
        <v>0</v>
      </c>
      <c r="I3" s="1" t="n">
        <f aca="false">SUM(E3:H3)</f>
        <v>0</v>
      </c>
    </row>
    <row r="4" customFormat="false" ht="15" hidden="false" customHeight="false" outlineLevel="0" collapsed="false">
      <c r="A4" s="1" t="n">
        <v>3</v>
      </c>
      <c r="B4" s="3" t="s">
        <v>22</v>
      </c>
      <c r="C4" s="1" t="n">
        <v>1</v>
      </c>
      <c r="E4" s="1" t="n">
        <f aca="false">SUM(C4:D4)</f>
        <v>1</v>
      </c>
      <c r="I4" s="1" t="n">
        <f aca="false">SUM(E4:H4)</f>
        <v>1</v>
      </c>
    </row>
    <row r="5" customFormat="false" ht="15" hidden="false" customHeight="false" outlineLevel="0" collapsed="false">
      <c r="A5" s="1" t="n">
        <v>4</v>
      </c>
      <c r="B5" s="3" t="s">
        <v>26</v>
      </c>
      <c r="C5" s="1" t="n">
        <v>2</v>
      </c>
      <c r="D5" s="1" t="n">
        <v>1</v>
      </c>
      <c r="E5" s="1" t="n">
        <f aca="false">SUM(C5:D5)</f>
        <v>3</v>
      </c>
      <c r="F5" s="1" t="n">
        <v>6</v>
      </c>
      <c r="I5" s="1" t="n">
        <f aca="false">SUM(E5:H5)</f>
        <v>9</v>
      </c>
    </row>
    <row r="6" customFormat="false" ht="15" hidden="false" customHeight="false" outlineLevel="0" collapsed="false">
      <c r="A6" s="1" t="n">
        <v>5</v>
      </c>
      <c r="B6" s="3" t="s">
        <v>29</v>
      </c>
      <c r="E6" s="1" t="n">
        <f aca="false">SUM(C6:D6)</f>
        <v>0</v>
      </c>
      <c r="I6" s="1" t="n">
        <f aca="false">SUM(E6:H6)</f>
        <v>0</v>
      </c>
      <c r="J6" s="1" t="n">
        <v>1</v>
      </c>
    </row>
    <row r="7" customFormat="false" ht="15" hidden="false" customHeight="false" outlineLevel="0" collapsed="false">
      <c r="A7" s="1" t="n">
        <v>6</v>
      </c>
      <c r="B7" s="3" t="s">
        <v>32</v>
      </c>
      <c r="E7" s="1" t="n">
        <f aca="false">SUM(C7:D7)</f>
        <v>0</v>
      </c>
      <c r="I7" s="1" t="n">
        <f aca="false">SUM(E7:H7)</f>
        <v>0</v>
      </c>
    </row>
    <row r="8" customFormat="false" ht="15" hidden="false" customHeight="false" outlineLevel="0" collapsed="false">
      <c r="A8" s="1" t="n">
        <v>7</v>
      </c>
      <c r="B8" s="3" t="s">
        <v>35</v>
      </c>
      <c r="E8" s="1" t="n">
        <f aca="false">SUM(C8:D8)</f>
        <v>0</v>
      </c>
      <c r="I8" s="1" t="n">
        <f aca="false">SUM(E8:H8)</f>
        <v>0</v>
      </c>
    </row>
    <row r="9" customFormat="false" ht="15" hidden="false" customHeight="false" outlineLevel="0" collapsed="false">
      <c r="A9" s="1" t="n">
        <v>8</v>
      </c>
      <c r="B9" s="3" t="s">
        <v>39</v>
      </c>
      <c r="C9" s="1" t="n">
        <v>2</v>
      </c>
      <c r="E9" s="1" t="n">
        <f aca="false">SUM(C9:D9)</f>
        <v>2</v>
      </c>
      <c r="G9" s="1" t="n">
        <v>5</v>
      </c>
      <c r="I9" s="1" t="n">
        <f aca="false">SUM(E9:H9)</f>
        <v>7</v>
      </c>
    </row>
    <row r="10" customFormat="false" ht="15" hidden="false" customHeight="false" outlineLevel="0" collapsed="false">
      <c r="A10" s="1" t="n">
        <v>9</v>
      </c>
      <c r="B10" s="3" t="s">
        <v>42</v>
      </c>
      <c r="C10" s="1" t="n">
        <v>2</v>
      </c>
      <c r="E10" s="1" t="n">
        <f aca="false">SUM(C10:D10)</f>
        <v>2</v>
      </c>
      <c r="F10" s="1" t="n">
        <v>1</v>
      </c>
      <c r="G10" s="1" t="n">
        <v>5</v>
      </c>
      <c r="I10" s="1" t="n">
        <f aca="false">SUM(E10:H10)</f>
        <v>8</v>
      </c>
      <c r="J10" s="1" t="n">
        <v>1</v>
      </c>
    </row>
    <row r="11" customFormat="false" ht="15" hidden="false" customHeight="false" outlineLevel="0" collapsed="false">
      <c r="A11" s="1" t="n">
        <v>10</v>
      </c>
      <c r="B11" s="3" t="s">
        <v>45</v>
      </c>
      <c r="E11" s="1" t="n">
        <f aca="false">SUM(C11:D11)</f>
        <v>0</v>
      </c>
      <c r="I11" s="1" t="n">
        <f aca="false">SUM(E11:H11)</f>
        <v>0</v>
      </c>
      <c r="J11" s="1" t="n">
        <v>1</v>
      </c>
      <c r="L11" s="1" t="n">
        <v>36</v>
      </c>
    </row>
    <row r="12" customFormat="false" ht="15" hidden="false" customHeight="false" outlineLevel="0" collapsed="false">
      <c r="A12" s="1" t="n">
        <v>11</v>
      </c>
      <c r="B12" s="3" t="s">
        <v>48</v>
      </c>
      <c r="D12" s="1" t="n">
        <v>1</v>
      </c>
      <c r="E12" s="1" t="n">
        <f aca="false">SUM(C12:D12)</f>
        <v>1</v>
      </c>
      <c r="I12" s="1" t="n">
        <f aca="false">SUM(E12:H12)</f>
        <v>1</v>
      </c>
    </row>
    <row r="13" customFormat="false" ht="15" hidden="false" customHeight="false" outlineLevel="0" collapsed="false">
      <c r="A13" s="1" t="n">
        <v>12</v>
      </c>
      <c r="B13" s="3" t="s">
        <v>51</v>
      </c>
      <c r="C13" s="1" t="n">
        <v>3</v>
      </c>
      <c r="D13" s="1" t="n">
        <v>1</v>
      </c>
      <c r="E13" s="1" t="n">
        <f aca="false">SUM(C13:D13)</f>
        <v>4</v>
      </c>
      <c r="G13" s="1" t="n">
        <v>5</v>
      </c>
      <c r="H13" s="1" t="n">
        <v>-1</v>
      </c>
      <c r="I13" s="1" t="n">
        <f aca="false">SUM(E13:H13)</f>
        <v>8</v>
      </c>
      <c r="L13" s="1" t="n">
        <v>30</v>
      </c>
    </row>
    <row r="14" customFormat="false" ht="15" hidden="false" customHeight="false" outlineLevel="0" collapsed="false">
      <c r="A14" s="1" t="n">
        <v>13</v>
      </c>
      <c r="B14" s="3" t="s">
        <v>54</v>
      </c>
      <c r="C14" s="1" t="n">
        <v>3</v>
      </c>
      <c r="D14" s="1" t="n">
        <v>2</v>
      </c>
      <c r="E14" s="1" t="n">
        <f aca="false">SUM(C14:D14)</f>
        <v>5</v>
      </c>
      <c r="I14" s="1" t="n">
        <f aca="false">SUM(E14:H14)</f>
        <v>5</v>
      </c>
      <c r="L14" s="1" t="n">
        <v>36</v>
      </c>
    </row>
    <row r="15" customFormat="false" ht="15" hidden="false" customHeight="false" outlineLevel="0" collapsed="false">
      <c r="A15" s="1" t="n">
        <v>14</v>
      </c>
      <c r="B15" s="3" t="s">
        <v>58</v>
      </c>
      <c r="C15" s="1" t="n">
        <v>3</v>
      </c>
      <c r="D15" s="1" t="n">
        <v>3</v>
      </c>
      <c r="E15" s="1" t="n">
        <f aca="false">SUM(C15:D15)</f>
        <v>6</v>
      </c>
      <c r="G15" s="1" t="n">
        <v>5</v>
      </c>
      <c r="I15" s="1" t="n">
        <f aca="false">SUM(E15:H15)</f>
        <v>11</v>
      </c>
      <c r="K15" s="1" t="n">
        <v>1</v>
      </c>
      <c r="L15" s="1" t="n">
        <v>36</v>
      </c>
    </row>
    <row r="16" customFormat="false" ht="15" hidden="false" customHeight="false" outlineLevel="0" collapsed="false">
      <c r="A16" s="1" t="n">
        <v>15</v>
      </c>
      <c r="B16" s="3" t="s">
        <v>61</v>
      </c>
      <c r="C16" s="1" t="n">
        <v>2</v>
      </c>
      <c r="E16" s="1" t="n">
        <f aca="false">SUM(C16:D16)</f>
        <v>2</v>
      </c>
      <c r="I16" s="1" t="n">
        <f aca="false">SUM(E16:H16)</f>
        <v>2</v>
      </c>
      <c r="J16" s="1" t="n">
        <v>1</v>
      </c>
    </row>
    <row r="17" customFormat="false" ht="15" hidden="false" customHeight="false" outlineLevel="0" collapsed="false">
      <c r="A17" s="1" t="n">
        <v>16</v>
      </c>
      <c r="B17" s="3" t="s">
        <v>64</v>
      </c>
      <c r="E17" s="1" t="n">
        <f aca="false">SUM(C17:D17)</f>
        <v>0</v>
      </c>
      <c r="I17" s="1" t="n">
        <f aca="false">SUM(E17:H17)</f>
        <v>0</v>
      </c>
    </row>
    <row r="18" customFormat="false" ht="15" hidden="false" customHeight="false" outlineLevel="0" collapsed="false">
      <c r="A18" s="1" t="n">
        <v>17</v>
      </c>
      <c r="B18" s="3" t="s">
        <v>68</v>
      </c>
      <c r="E18" s="1" t="n">
        <f aca="false">SUM(C18:D18)</f>
        <v>0</v>
      </c>
      <c r="G18" s="1" t="n">
        <v>5</v>
      </c>
      <c r="I18" s="1" t="n">
        <f aca="false">SUM(E18:H18)</f>
        <v>5</v>
      </c>
    </row>
    <row r="19" customFormat="false" ht="15" hidden="false" customHeight="false" outlineLevel="0" collapsed="false">
      <c r="A19" s="1" t="n">
        <v>18</v>
      </c>
      <c r="B19" s="3" t="s">
        <v>71</v>
      </c>
      <c r="E19" s="1" t="n">
        <f aca="false">SUM(C19:D19)</f>
        <v>0</v>
      </c>
      <c r="G19" s="1" t="n">
        <v>5</v>
      </c>
      <c r="I19" s="1" t="n">
        <f aca="false">SUM(E19:H19)</f>
        <v>5</v>
      </c>
    </row>
    <row r="20" customFormat="false" ht="15" hidden="false" customHeight="false" outlineLevel="0" collapsed="false">
      <c r="A20" s="1" t="n">
        <v>19</v>
      </c>
      <c r="B20" s="3" t="s">
        <v>74</v>
      </c>
      <c r="E20" s="1" t="n">
        <f aca="false">SUM(C20:D20)</f>
        <v>0</v>
      </c>
      <c r="I20" s="1" t="n">
        <f aca="false">SUM(E20:H20)</f>
        <v>0</v>
      </c>
    </row>
    <row r="21" customFormat="false" ht="15" hidden="false" customHeight="false" outlineLevel="0" collapsed="false">
      <c r="A21" s="1" t="n">
        <v>20</v>
      </c>
      <c r="B21" s="3" t="s">
        <v>77</v>
      </c>
      <c r="E21" s="1" t="n">
        <f aca="false">SUM(C21:D21)</f>
        <v>0</v>
      </c>
      <c r="I21" s="1" t="n">
        <f aca="false">SUM(E21:H21)</f>
        <v>0</v>
      </c>
      <c r="J21" s="1" t="n">
        <v>1</v>
      </c>
    </row>
    <row r="22" customFormat="false" ht="15" hidden="false" customHeight="false" outlineLevel="0" collapsed="false">
      <c r="A22" s="1" t="n">
        <v>21</v>
      </c>
      <c r="B22" s="3" t="s">
        <v>81</v>
      </c>
      <c r="C22" s="1" t="n">
        <v>3</v>
      </c>
      <c r="D22" s="1" t="n">
        <v>2</v>
      </c>
      <c r="E22" s="1" t="n">
        <f aca="false">SUM(C22:D22)</f>
        <v>5</v>
      </c>
      <c r="G22" s="1" t="n">
        <v>5</v>
      </c>
      <c r="I22" s="1" t="n">
        <f aca="false">SUM(E22:H22)</f>
        <v>10</v>
      </c>
    </row>
    <row r="23" customFormat="false" ht="15" hidden="false" customHeight="false" outlineLevel="0" collapsed="false">
      <c r="A23" s="1" t="n">
        <v>22</v>
      </c>
      <c r="B23" s="3" t="s">
        <v>84</v>
      </c>
      <c r="C23" s="1" t="n">
        <v>4</v>
      </c>
      <c r="D23" s="1" t="n">
        <v>2</v>
      </c>
      <c r="E23" s="1" t="n">
        <f aca="false">SUM(C23:D23)</f>
        <v>6</v>
      </c>
      <c r="G23" s="1" t="n">
        <v>5</v>
      </c>
      <c r="I23" s="1" t="n">
        <f aca="false">SUM(E23:H23)</f>
        <v>11</v>
      </c>
    </row>
    <row r="24" customFormat="false" ht="15" hidden="false" customHeight="false" outlineLevel="0" collapsed="false">
      <c r="A24" s="1" t="n">
        <v>23</v>
      </c>
      <c r="B24" s="3" t="s">
        <v>87</v>
      </c>
      <c r="C24" s="1" t="n">
        <v>6</v>
      </c>
      <c r="D24" s="1" t="n">
        <v>2</v>
      </c>
      <c r="E24" s="2" t="n">
        <v>19</v>
      </c>
      <c r="F24" s="1" t="n">
        <v>12</v>
      </c>
      <c r="G24" s="1" t="n">
        <v>5</v>
      </c>
      <c r="H24" s="1" t="n">
        <v>1</v>
      </c>
      <c r="I24" s="1" t="n">
        <f aca="false">SUM(E24:H24)</f>
        <v>37</v>
      </c>
      <c r="K24" s="1" t="n">
        <v>1</v>
      </c>
      <c r="L24" s="1" t="n">
        <v>36</v>
      </c>
    </row>
    <row r="25" customFormat="false" ht="15" hidden="false" customHeight="false" outlineLevel="0" collapsed="false">
      <c r="A25" s="1" t="n">
        <v>24</v>
      </c>
      <c r="B25" s="3" t="s">
        <v>90</v>
      </c>
      <c r="C25" s="1" t="n">
        <v>6</v>
      </c>
      <c r="D25" s="1" t="n">
        <v>4</v>
      </c>
      <c r="E25" s="2" t="n">
        <v>21</v>
      </c>
      <c r="F25" s="1" t="n">
        <v>12</v>
      </c>
      <c r="H25" s="1" t="n">
        <v>1</v>
      </c>
      <c r="I25" s="1" t="n">
        <f aca="false">SUM(E25:H25)</f>
        <v>34</v>
      </c>
      <c r="J25" s="1" t="n">
        <v>1</v>
      </c>
      <c r="L25" s="1" t="n">
        <v>30</v>
      </c>
    </row>
    <row r="26" customFormat="false" ht="15" hidden="false" customHeight="false" outlineLevel="0" collapsed="false">
      <c r="A26" s="1" t="n">
        <v>25</v>
      </c>
      <c r="B26" s="3" t="s">
        <v>95</v>
      </c>
      <c r="C26" s="1" t="n">
        <v>3</v>
      </c>
      <c r="D26" s="1" t="n">
        <v>1</v>
      </c>
      <c r="E26" s="1" t="n">
        <f aca="false">SUM(C26:D26)</f>
        <v>4</v>
      </c>
      <c r="G26" s="1" t="n">
        <v>5</v>
      </c>
      <c r="I26" s="1" t="n">
        <f aca="false">SUM(E26:H26)</f>
        <v>9</v>
      </c>
    </row>
    <row r="27" customFormat="false" ht="15" hidden="false" customHeight="false" outlineLevel="0" collapsed="false">
      <c r="A27" s="1" t="n">
        <v>26</v>
      </c>
      <c r="B27" s="3" t="s">
        <v>98</v>
      </c>
      <c r="E27" s="1" t="n">
        <f aca="false">SUM(C27:D27)</f>
        <v>0</v>
      </c>
      <c r="G27" s="1" t="n">
        <v>5</v>
      </c>
      <c r="I27" s="1" t="n">
        <f aca="false">SUM(E27:H27)</f>
        <v>5</v>
      </c>
      <c r="J2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9.554687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1.98"/>
    <col collapsed="false" customWidth="true" hidden="false" outlineLevel="0" max="5" min="5" style="1" width="13.88"/>
    <col collapsed="false" customWidth="true" hidden="false" outlineLevel="0" max="6" min="6" style="1" width="6.87"/>
  </cols>
  <sheetData>
    <row r="1" customFormat="false" ht="15" hidden="false" customHeight="false" outlineLevel="0" collapsed="false">
      <c r="C1" s="1" t="s">
        <v>5</v>
      </c>
      <c r="D1" s="1" t="s">
        <v>6</v>
      </c>
      <c r="E1" s="1" t="s">
        <v>129</v>
      </c>
      <c r="F1" s="1" t="s">
        <v>130</v>
      </c>
      <c r="G1" s="1" t="s">
        <v>108</v>
      </c>
      <c r="H1" s="1" t="s">
        <v>131</v>
      </c>
      <c r="I1" s="1" t="s">
        <v>120</v>
      </c>
    </row>
    <row r="2" customFormat="false" ht="15" hidden="false" customHeight="false" outlineLevel="0" collapsed="false">
      <c r="A2" s="1" t="n">
        <v>1</v>
      </c>
      <c r="B2" s="3" t="s">
        <v>13</v>
      </c>
      <c r="C2" s="1" t="s">
        <v>13</v>
      </c>
      <c r="D2" s="1" t="s">
        <v>14</v>
      </c>
      <c r="E2" s="1" t="s">
        <v>306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3" t="s">
        <v>19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22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3" t="s">
        <v>26</v>
      </c>
      <c r="C5" s="1" t="s">
        <v>26</v>
      </c>
      <c r="D5" s="1" t="s">
        <v>27</v>
      </c>
      <c r="E5" s="1" t="s">
        <v>307</v>
      </c>
      <c r="F5" s="1" t="n">
        <v>8</v>
      </c>
      <c r="I5" s="1" t="n">
        <v>8</v>
      </c>
    </row>
    <row r="6" customFormat="false" ht="15" hidden="false" customHeight="false" outlineLevel="0" collapsed="false">
      <c r="A6" s="1" t="n">
        <v>5</v>
      </c>
      <c r="B6" s="3" t="s">
        <v>29</v>
      </c>
      <c r="C6" s="1" t="s">
        <v>29</v>
      </c>
      <c r="D6" s="1" t="s">
        <v>30</v>
      </c>
      <c r="E6" s="1" t="s">
        <v>308</v>
      </c>
      <c r="F6" s="1" t="n">
        <v>8</v>
      </c>
      <c r="I6" s="1" t="n">
        <v>8</v>
      </c>
    </row>
    <row r="7" customFormat="false" ht="15" hidden="false" customHeight="false" outlineLevel="0" collapsed="false">
      <c r="A7" s="1" t="n">
        <v>6</v>
      </c>
      <c r="B7" s="3" t="s">
        <v>32</v>
      </c>
      <c r="C7" s="1" t="s">
        <v>32</v>
      </c>
      <c r="D7" s="1" t="s">
        <v>33</v>
      </c>
      <c r="E7" s="1" t="s">
        <v>309</v>
      </c>
      <c r="F7" s="1" t="n">
        <v>8</v>
      </c>
      <c r="I7" s="1" t="n">
        <v>8</v>
      </c>
    </row>
    <row r="8" customFormat="false" ht="15" hidden="false" customHeight="false" outlineLevel="0" collapsed="false">
      <c r="A8" s="1" t="n">
        <v>7</v>
      </c>
      <c r="B8" s="3" t="s">
        <v>35</v>
      </c>
      <c r="C8" s="1" t="s">
        <v>35</v>
      </c>
      <c r="D8" s="1" t="s">
        <v>36</v>
      </c>
      <c r="E8" s="1" t="s">
        <v>310</v>
      </c>
      <c r="F8" s="1" t="n">
        <v>9</v>
      </c>
      <c r="I8" s="1" t="n">
        <v>9</v>
      </c>
    </row>
    <row r="9" customFormat="false" ht="15" hidden="false" customHeight="false" outlineLevel="0" collapsed="false">
      <c r="A9" s="1" t="n">
        <v>8</v>
      </c>
      <c r="B9" s="3" t="s">
        <v>39</v>
      </c>
      <c r="C9" s="1" t="s">
        <v>39</v>
      </c>
      <c r="D9" s="1" t="s">
        <v>40</v>
      </c>
      <c r="E9" s="1" t="s">
        <v>311</v>
      </c>
      <c r="F9" s="1" t="n">
        <v>7</v>
      </c>
      <c r="I9" s="1" t="n">
        <v>7</v>
      </c>
    </row>
    <row r="10" customFormat="false" ht="15" hidden="false" customHeight="false" outlineLevel="0" collapsed="false">
      <c r="A10" s="1" t="n">
        <v>9</v>
      </c>
      <c r="B10" s="3" t="s">
        <v>42</v>
      </c>
      <c r="C10" s="1" t="s">
        <v>42</v>
      </c>
      <c r="D10" s="1" t="s">
        <v>43</v>
      </c>
      <c r="E10" s="1" t="s">
        <v>312</v>
      </c>
      <c r="F10" s="1" t="n">
        <v>9</v>
      </c>
      <c r="I10" s="1" t="n">
        <v>9</v>
      </c>
    </row>
    <row r="11" customFormat="false" ht="15" hidden="false" customHeight="false" outlineLevel="0" collapsed="false">
      <c r="A11" s="1" t="n">
        <v>10</v>
      </c>
      <c r="B11" s="3" t="s">
        <v>45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26</v>
      </c>
      <c r="B12" s="3" t="s">
        <v>48</v>
      </c>
      <c r="C12" s="1" t="s">
        <v>48</v>
      </c>
      <c r="D12" s="1" t="s">
        <v>49</v>
      </c>
      <c r="E12" s="1" t="s">
        <v>313</v>
      </c>
      <c r="F12" s="1" t="n">
        <v>8</v>
      </c>
      <c r="I12" s="1" t="n">
        <v>8</v>
      </c>
    </row>
    <row r="13" customFormat="false" ht="15" hidden="false" customHeight="false" outlineLevel="0" collapsed="false">
      <c r="A13" s="1" t="n">
        <v>11</v>
      </c>
      <c r="B13" s="3" t="s">
        <v>51</v>
      </c>
      <c r="C13" s="1" t="s">
        <v>51</v>
      </c>
      <c r="D13" s="1" t="s">
        <v>52</v>
      </c>
      <c r="E13" s="1" t="s">
        <v>314</v>
      </c>
      <c r="F13" s="1" t="n">
        <v>8</v>
      </c>
      <c r="I13" s="1" t="n">
        <v>8</v>
      </c>
    </row>
    <row r="14" customFormat="false" ht="15" hidden="false" customHeight="false" outlineLevel="0" collapsed="false">
      <c r="A14" s="1" t="n">
        <v>12</v>
      </c>
      <c r="B14" s="3" t="s">
        <v>54</v>
      </c>
      <c r="C14" s="1" t="s">
        <v>54</v>
      </c>
      <c r="D14" s="1" t="s">
        <v>55</v>
      </c>
      <c r="E14" s="1" t="s">
        <v>315</v>
      </c>
      <c r="F14" s="1" t="n">
        <v>8</v>
      </c>
      <c r="I14" s="1" t="n">
        <v>8</v>
      </c>
    </row>
    <row r="15" customFormat="false" ht="15" hidden="false" customHeight="false" outlineLevel="0" collapsed="false">
      <c r="A15" s="1" t="n">
        <v>13</v>
      </c>
      <c r="B15" s="3" t="s">
        <v>58</v>
      </c>
      <c r="C15" s="1" t="s">
        <v>58</v>
      </c>
      <c r="D15" s="1" t="s">
        <v>59</v>
      </c>
      <c r="E15" s="1" t="s">
        <v>316</v>
      </c>
      <c r="F15" s="1" t="n">
        <v>9</v>
      </c>
      <c r="I15" s="1" t="n">
        <v>9</v>
      </c>
    </row>
    <row r="16" customFormat="false" ht="15" hidden="false" customHeight="false" outlineLevel="0" collapsed="false">
      <c r="A16" s="1" t="n">
        <v>14</v>
      </c>
      <c r="B16" s="3" t="s">
        <v>61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15</v>
      </c>
      <c r="B17" s="3" t="s">
        <v>64</v>
      </c>
      <c r="C17" s="1" t="s">
        <v>64</v>
      </c>
      <c r="D17" s="1" t="s">
        <v>65</v>
      </c>
      <c r="E17" s="1" t="s">
        <v>317</v>
      </c>
      <c r="F17" s="1" t="n">
        <v>10</v>
      </c>
      <c r="I17" s="1" t="n">
        <v>10</v>
      </c>
    </row>
    <row r="18" customFormat="false" ht="15" hidden="false" customHeight="false" outlineLevel="0" collapsed="false">
      <c r="A18" s="1" t="n">
        <v>16</v>
      </c>
      <c r="B18" s="3" t="s">
        <v>68</v>
      </c>
      <c r="C18" s="1" t="s">
        <v>68</v>
      </c>
      <c r="D18" s="1" t="s">
        <v>69</v>
      </c>
      <c r="E18" s="1" t="s">
        <v>318</v>
      </c>
      <c r="F18" s="1" t="n">
        <v>10</v>
      </c>
      <c r="G18" s="1" t="n">
        <f aca="false">AVERAGE(F18:F19)</f>
        <v>9</v>
      </c>
      <c r="H18" s="1" t="n">
        <v>8</v>
      </c>
      <c r="I18" s="1" t="n">
        <f aca="false">ROUND(MAX(H18,G18),0)</f>
        <v>9</v>
      </c>
    </row>
    <row r="19" customFormat="false" ht="15" hidden="false" customHeight="false" outlineLevel="0" collapsed="false">
      <c r="C19" s="1" t="s">
        <v>68</v>
      </c>
      <c r="D19" s="1" t="s">
        <v>69</v>
      </c>
      <c r="E19" s="1" t="s">
        <v>319</v>
      </c>
      <c r="F19" s="1" t="n">
        <v>8</v>
      </c>
    </row>
    <row r="20" customFormat="false" ht="15" hidden="false" customHeight="false" outlineLevel="0" collapsed="false">
      <c r="A20" s="1" t="n">
        <v>17</v>
      </c>
      <c r="B20" s="3" t="s">
        <v>71</v>
      </c>
      <c r="C20" s="1" t="s">
        <v>71</v>
      </c>
      <c r="D20" s="1" t="s">
        <v>72</v>
      </c>
      <c r="E20" s="1" t="s">
        <v>320</v>
      </c>
      <c r="F20" s="1" t="n">
        <v>8</v>
      </c>
      <c r="G20" s="1" t="n">
        <f aca="false">AVERAGE(F20:F23)</f>
        <v>6</v>
      </c>
      <c r="H20" s="1" t="n">
        <v>7</v>
      </c>
      <c r="I20" s="1" t="n">
        <f aca="false">ROUND(MAX(H20,G20),0)</f>
        <v>7</v>
      </c>
    </row>
    <row r="21" customFormat="false" ht="15" hidden="false" customHeight="false" outlineLevel="0" collapsed="false">
      <c r="C21" s="1" t="s">
        <v>71</v>
      </c>
      <c r="D21" s="1" t="s">
        <v>72</v>
      </c>
      <c r="E21" s="1" t="s">
        <v>321</v>
      </c>
      <c r="F21" s="1" t="n">
        <v>7</v>
      </c>
    </row>
    <row r="22" customFormat="false" ht="15" hidden="false" customHeight="false" outlineLevel="0" collapsed="false">
      <c r="C22" s="1" t="s">
        <v>71</v>
      </c>
      <c r="D22" s="1" t="s">
        <v>72</v>
      </c>
      <c r="E22" s="1" t="s">
        <v>322</v>
      </c>
      <c r="F22" s="1" t="n">
        <v>5</v>
      </c>
    </row>
    <row r="23" customFormat="false" ht="15" hidden="false" customHeight="false" outlineLevel="0" collapsed="false">
      <c r="C23" s="1" t="s">
        <v>71</v>
      </c>
      <c r="D23" s="1" t="s">
        <v>72</v>
      </c>
      <c r="E23" s="1" t="s">
        <v>323</v>
      </c>
      <c r="F23" s="1" t="n">
        <v>4</v>
      </c>
    </row>
    <row r="24" customFormat="false" ht="15" hidden="false" customHeight="false" outlineLevel="0" collapsed="false">
      <c r="A24" s="1" t="n">
        <v>18</v>
      </c>
      <c r="B24" s="3" t="s">
        <v>74</v>
      </c>
      <c r="C24" s="1" t="s">
        <v>74</v>
      </c>
      <c r="D24" s="1" t="s">
        <v>75</v>
      </c>
      <c r="E24" s="1" t="s">
        <v>312</v>
      </c>
      <c r="F24" s="1" t="n">
        <v>8</v>
      </c>
      <c r="I24" s="1" t="n">
        <v>8</v>
      </c>
    </row>
    <row r="25" customFormat="false" ht="15" hidden="false" customHeight="false" outlineLevel="0" collapsed="false">
      <c r="A25" s="1" t="n">
        <v>19</v>
      </c>
      <c r="B25" s="3" t="s">
        <v>77</v>
      </c>
      <c r="C25" s="1" t="s">
        <v>77</v>
      </c>
      <c r="D25" s="1" t="s">
        <v>78</v>
      </c>
      <c r="E25" s="1" t="s">
        <v>324</v>
      </c>
      <c r="F25" s="1" t="n">
        <v>9</v>
      </c>
      <c r="I25" s="1" t="n">
        <v>9</v>
      </c>
    </row>
    <row r="26" customFormat="false" ht="15" hidden="false" customHeight="false" outlineLevel="0" collapsed="false">
      <c r="A26" s="1" t="n">
        <v>20</v>
      </c>
      <c r="B26" s="3" t="s">
        <v>81</v>
      </c>
      <c r="C26" s="1" t="s">
        <v>81</v>
      </c>
      <c r="D26" s="1" t="s">
        <v>82</v>
      </c>
      <c r="E26" s="1" t="s">
        <v>325</v>
      </c>
      <c r="F26" s="1" t="n">
        <v>9</v>
      </c>
      <c r="I26" s="1" t="n">
        <v>9</v>
      </c>
    </row>
    <row r="27" customFormat="false" ht="15" hidden="false" customHeight="false" outlineLevel="0" collapsed="false">
      <c r="A27" s="1" t="n">
        <v>21</v>
      </c>
      <c r="B27" s="3" t="s">
        <v>84</v>
      </c>
      <c r="C27" s="1" t="s">
        <v>84</v>
      </c>
      <c r="D27" s="1" t="s">
        <v>85</v>
      </c>
      <c r="E27" s="1" t="s">
        <v>326</v>
      </c>
      <c r="F27" s="1" t="n">
        <v>10</v>
      </c>
      <c r="I27" s="1" t="n">
        <v>10</v>
      </c>
    </row>
    <row r="28" customFormat="false" ht="15" hidden="false" customHeight="false" outlineLevel="0" collapsed="false">
      <c r="A28" s="1" t="n">
        <v>22</v>
      </c>
      <c r="B28" s="3" t="s">
        <v>87</v>
      </c>
      <c r="C28" s="1" t="s">
        <v>87</v>
      </c>
      <c r="D28" s="1" t="s">
        <v>88</v>
      </c>
      <c r="E28" s="1" t="s">
        <v>327</v>
      </c>
      <c r="F28" s="1" t="n">
        <v>10</v>
      </c>
      <c r="I28" s="1" t="n">
        <v>10</v>
      </c>
    </row>
    <row r="29" customFormat="false" ht="15" hidden="false" customHeight="false" outlineLevel="0" collapsed="false">
      <c r="A29" s="1" t="n">
        <v>23</v>
      </c>
      <c r="B29" s="3" t="s">
        <v>90</v>
      </c>
      <c r="C29" s="1" t="s">
        <v>90</v>
      </c>
      <c r="D29" s="1" t="s">
        <v>91</v>
      </c>
      <c r="E29" s="1" t="s">
        <v>328</v>
      </c>
      <c r="F29" s="1" t="n">
        <v>10</v>
      </c>
      <c r="I29" s="1" t="n">
        <v>10</v>
      </c>
    </row>
    <row r="30" customFormat="false" ht="15" hidden="false" customHeight="false" outlineLevel="0" collapsed="false">
      <c r="A30" s="1" t="n">
        <v>24</v>
      </c>
      <c r="B30" s="3" t="s">
        <v>95</v>
      </c>
      <c r="F30" s="1" t="n">
        <v>1</v>
      </c>
      <c r="I30" s="1" t="n">
        <v>1</v>
      </c>
    </row>
    <row r="31" customFormat="false" ht="15" hidden="false" customHeight="false" outlineLevel="0" collapsed="false">
      <c r="A31" s="1" t="n">
        <v>25</v>
      </c>
      <c r="B31" s="3" t="s">
        <v>98</v>
      </c>
      <c r="F31" s="1" t="n">
        <v>1</v>
      </c>
      <c r="I31" s="1" t="n">
        <v>1</v>
      </c>
    </row>
    <row r="32" customFormat="false" ht="15" hidden="false" customHeight="false" outlineLevel="0" collapsed="false">
      <c r="H32" s="1" t="s">
        <v>1</v>
      </c>
      <c r="I32" s="1" t="n">
        <f aca="false">COUNTIF(I2:I31,"&gt;0")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9.5546875" defaultRowHeight="15" zeroHeight="false" outlineLevelRow="0" outlineLevelCol="0"/>
  <cols>
    <col collapsed="false" customWidth="true" hidden="false" outlineLevel="0" max="1" min="1" style="1" width="3.32"/>
    <col collapsed="false" customWidth="true" hidden="false" outlineLevel="0" max="3" min="2" style="1" width="18.83"/>
    <col collapsed="false" customWidth="true" hidden="false" outlineLevel="0" max="4" min="4" style="1" width="21.95"/>
    <col collapsed="false" customWidth="true" hidden="false" outlineLevel="0" max="5" min="5" style="1" width="20.95"/>
  </cols>
  <sheetData>
    <row r="1" customFormat="false" ht="15" hidden="false" customHeight="false" outlineLevel="0" collapsed="false">
      <c r="C1" s="1" t="s">
        <v>5</v>
      </c>
      <c r="D1" s="1" t="s">
        <v>6</v>
      </c>
      <c r="E1" s="1" t="s">
        <v>129</v>
      </c>
      <c r="F1" s="1" t="s">
        <v>130</v>
      </c>
    </row>
    <row r="2" customFormat="false" ht="15" hidden="false" customHeight="false" outlineLevel="0" collapsed="false">
      <c r="A2" s="1" t="n">
        <v>1</v>
      </c>
      <c r="B2" s="3" t="s">
        <v>13</v>
      </c>
      <c r="F2" s="1" t="n">
        <v>1</v>
      </c>
    </row>
    <row r="3" customFormat="false" ht="15" hidden="false" customHeight="false" outlineLevel="0" collapsed="false">
      <c r="A3" s="1" t="n">
        <v>2</v>
      </c>
      <c r="B3" s="3" t="s">
        <v>19</v>
      </c>
      <c r="F3" s="1" t="n">
        <v>1</v>
      </c>
    </row>
    <row r="4" customFormat="false" ht="15" hidden="false" customHeight="false" outlineLevel="0" collapsed="false">
      <c r="A4" s="1" t="n">
        <v>3</v>
      </c>
      <c r="B4" s="3" t="s">
        <v>22</v>
      </c>
      <c r="F4" s="1" t="n">
        <v>1</v>
      </c>
    </row>
    <row r="5" customFormat="false" ht="15" hidden="false" customHeight="false" outlineLevel="0" collapsed="false">
      <c r="A5" s="1" t="n">
        <v>4</v>
      </c>
      <c r="B5" s="3" t="s">
        <v>26</v>
      </c>
      <c r="C5" s="1" t="s">
        <v>26</v>
      </c>
      <c r="D5" s="1" t="s">
        <v>27</v>
      </c>
      <c r="E5" s="1" t="s">
        <v>329</v>
      </c>
      <c r="F5" s="1" t="n">
        <v>8</v>
      </c>
    </row>
    <row r="6" customFormat="false" ht="15" hidden="false" customHeight="false" outlineLevel="0" collapsed="false">
      <c r="A6" s="1" t="n">
        <v>5</v>
      </c>
      <c r="B6" s="3" t="s">
        <v>29</v>
      </c>
      <c r="F6" s="1" t="n">
        <v>1</v>
      </c>
    </row>
    <row r="7" customFormat="false" ht="15" hidden="false" customHeight="false" outlineLevel="0" collapsed="false">
      <c r="A7" s="1" t="n">
        <v>6</v>
      </c>
      <c r="B7" s="3" t="s">
        <v>32</v>
      </c>
      <c r="C7" s="1" t="s">
        <v>32</v>
      </c>
      <c r="D7" s="1" t="s">
        <v>33</v>
      </c>
      <c r="E7" s="1" t="s">
        <v>204</v>
      </c>
      <c r="F7" s="1" t="n">
        <v>9</v>
      </c>
    </row>
    <row r="8" customFormat="false" ht="15" hidden="false" customHeight="false" outlineLevel="0" collapsed="false">
      <c r="A8" s="1" t="n">
        <v>7</v>
      </c>
      <c r="B8" s="3" t="s">
        <v>35</v>
      </c>
      <c r="C8" s="1" t="s">
        <v>35</v>
      </c>
      <c r="D8" s="1" t="s">
        <v>36</v>
      </c>
      <c r="E8" s="1" t="s">
        <v>330</v>
      </c>
      <c r="F8" s="1" t="n">
        <v>10</v>
      </c>
    </row>
    <row r="9" customFormat="false" ht="15" hidden="false" customHeight="false" outlineLevel="0" collapsed="false">
      <c r="A9" s="1" t="n">
        <v>8</v>
      </c>
      <c r="B9" s="3" t="s">
        <v>39</v>
      </c>
      <c r="C9" s="1" t="s">
        <v>39</v>
      </c>
      <c r="D9" s="1" t="s">
        <v>40</v>
      </c>
      <c r="E9" s="1" t="s">
        <v>331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3" t="s">
        <v>42</v>
      </c>
      <c r="C10" s="1" t="s">
        <v>42</v>
      </c>
      <c r="D10" s="1" t="s">
        <v>43</v>
      </c>
      <c r="E10" s="1" t="s">
        <v>332</v>
      </c>
      <c r="F10" s="1" t="n">
        <v>9</v>
      </c>
    </row>
    <row r="11" customFormat="false" ht="15" hidden="false" customHeight="false" outlineLevel="0" collapsed="false">
      <c r="A11" s="1" t="n">
        <v>10</v>
      </c>
      <c r="B11" s="3" t="s">
        <v>45</v>
      </c>
      <c r="F11" s="1" t="n">
        <v>1</v>
      </c>
    </row>
    <row r="12" customFormat="false" ht="15" hidden="false" customHeight="false" outlineLevel="0" collapsed="false">
      <c r="A12" s="1" t="n">
        <v>26</v>
      </c>
      <c r="B12" s="3" t="s">
        <v>48</v>
      </c>
      <c r="F12" s="1" t="n">
        <v>1</v>
      </c>
    </row>
    <row r="13" customFormat="false" ht="15" hidden="false" customHeight="false" outlineLevel="0" collapsed="false">
      <c r="A13" s="1" t="n">
        <v>11</v>
      </c>
      <c r="B13" s="3" t="s">
        <v>51</v>
      </c>
      <c r="C13" s="1" t="s">
        <v>51</v>
      </c>
      <c r="D13" s="1" t="s">
        <v>52</v>
      </c>
      <c r="E13" s="1" t="s">
        <v>333</v>
      </c>
      <c r="F13" s="1" t="n">
        <v>8</v>
      </c>
    </row>
    <row r="14" customFormat="false" ht="15" hidden="false" customHeight="false" outlineLevel="0" collapsed="false">
      <c r="A14" s="1" t="n">
        <v>12</v>
      </c>
      <c r="B14" s="3" t="s">
        <v>54</v>
      </c>
      <c r="C14" s="1" t="s">
        <v>54</v>
      </c>
      <c r="D14" s="1" t="s">
        <v>55</v>
      </c>
      <c r="E14" s="1" t="s">
        <v>213</v>
      </c>
      <c r="F14" s="1" t="n">
        <v>10</v>
      </c>
    </row>
    <row r="15" customFormat="false" ht="15" hidden="false" customHeight="false" outlineLevel="0" collapsed="false">
      <c r="A15" s="1" t="n">
        <v>13</v>
      </c>
      <c r="B15" s="3" t="s">
        <v>58</v>
      </c>
      <c r="C15" s="1" t="s">
        <v>58</v>
      </c>
      <c r="D15" s="1" t="s">
        <v>59</v>
      </c>
      <c r="E15" s="1" t="s">
        <v>334</v>
      </c>
      <c r="F15" s="1" t="n">
        <v>7</v>
      </c>
    </row>
    <row r="16" customFormat="false" ht="15" hidden="false" customHeight="false" outlineLevel="0" collapsed="false">
      <c r="A16" s="1" t="n">
        <v>14</v>
      </c>
      <c r="B16" s="3" t="s">
        <v>61</v>
      </c>
      <c r="F16" s="1" t="n">
        <v>1</v>
      </c>
    </row>
    <row r="17" customFormat="false" ht="15" hidden="false" customHeight="false" outlineLevel="0" collapsed="false">
      <c r="A17" s="1" t="n">
        <v>15</v>
      </c>
      <c r="B17" s="3" t="s">
        <v>64</v>
      </c>
      <c r="C17" s="1" t="s">
        <v>64</v>
      </c>
      <c r="D17" s="1" t="s">
        <v>65</v>
      </c>
      <c r="E17" s="1" t="s">
        <v>213</v>
      </c>
      <c r="F17" s="1" t="n">
        <v>8</v>
      </c>
    </row>
    <row r="18" customFormat="false" ht="15" hidden="false" customHeight="false" outlineLevel="0" collapsed="false">
      <c r="A18" s="1" t="n">
        <v>16</v>
      </c>
      <c r="B18" s="3" t="s">
        <v>68</v>
      </c>
      <c r="C18" s="1" t="s">
        <v>68</v>
      </c>
      <c r="D18" s="1" t="s">
        <v>69</v>
      </c>
      <c r="E18" s="1" t="s">
        <v>335</v>
      </c>
      <c r="F18" s="1" t="n">
        <v>9</v>
      </c>
    </row>
    <row r="19" customFormat="false" ht="15" hidden="false" customHeight="false" outlineLevel="0" collapsed="false">
      <c r="A19" s="1" t="n">
        <v>17</v>
      </c>
      <c r="B19" s="3" t="s">
        <v>71</v>
      </c>
      <c r="C19" s="1" t="s">
        <v>71</v>
      </c>
      <c r="D19" s="1" t="s">
        <v>72</v>
      </c>
      <c r="E19" s="1" t="s">
        <v>336</v>
      </c>
      <c r="F19" s="1" t="n">
        <v>8</v>
      </c>
    </row>
    <row r="20" customFormat="false" ht="15" hidden="false" customHeight="false" outlineLevel="0" collapsed="false">
      <c r="A20" s="1" t="n">
        <v>18</v>
      </c>
      <c r="B20" s="3" t="s">
        <v>74</v>
      </c>
      <c r="C20" s="1" t="s">
        <v>74</v>
      </c>
      <c r="D20" s="1" t="s">
        <v>75</v>
      </c>
      <c r="E20" s="1" t="s">
        <v>147</v>
      </c>
      <c r="F20" s="1" t="n">
        <v>10</v>
      </c>
    </row>
    <row r="21" customFormat="false" ht="15" hidden="false" customHeight="false" outlineLevel="0" collapsed="false">
      <c r="A21" s="1" t="n">
        <v>19</v>
      </c>
      <c r="B21" s="3" t="s">
        <v>77</v>
      </c>
      <c r="F21" s="1" t="n">
        <v>1</v>
      </c>
    </row>
    <row r="22" customFormat="false" ht="15" hidden="false" customHeight="false" outlineLevel="0" collapsed="false">
      <c r="A22" s="1" t="n">
        <v>20</v>
      </c>
      <c r="B22" s="3" t="s">
        <v>81</v>
      </c>
      <c r="F22" s="1" t="n">
        <v>1</v>
      </c>
    </row>
    <row r="23" customFormat="false" ht="15" hidden="false" customHeight="false" outlineLevel="0" collapsed="false">
      <c r="A23" s="1" t="n">
        <v>21</v>
      </c>
      <c r="B23" s="3" t="s">
        <v>84</v>
      </c>
      <c r="F23" s="1" t="n">
        <v>1</v>
      </c>
    </row>
    <row r="24" customFormat="false" ht="15" hidden="false" customHeight="false" outlineLevel="0" collapsed="false">
      <c r="A24" s="1" t="n">
        <v>22</v>
      </c>
      <c r="B24" s="3" t="s">
        <v>87</v>
      </c>
      <c r="C24" s="1" t="s">
        <v>87</v>
      </c>
      <c r="D24" s="1" t="s">
        <v>88</v>
      </c>
      <c r="E24" s="1" t="s">
        <v>213</v>
      </c>
      <c r="F24" s="1" t="n">
        <v>8</v>
      </c>
    </row>
    <row r="25" customFormat="false" ht="15" hidden="false" customHeight="false" outlineLevel="0" collapsed="false">
      <c r="A25" s="1" t="n">
        <v>23</v>
      </c>
      <c r="B25" s="3" t="s">
        <v>90</v>
      </c>
      <c r="C25" s="1" t="s">
        <v>90</v>
      </c>
      <c r="D25" s="1" t="s">
        <v>91</v>
      </c>
      <c r="E25" s="1" t="s">
        <v>337</v>
      </c>
      <c r="F25" s="1" t="n">
        <v>10</v>
      </c>
    </row>
    <row r="26" customFormat="false" ht="15" hidden="false" customHeight="false" outlineLevel="0" collapsed="false">
      <c r="A26" s="1" t="n">
        <v>24</v>
      </c>
      <c r="B26" s="3" t="s">
        <v>95</v>
      </c>
      <c r="C26" s="1" t="s">
        <v>95</v>
      </c>
      <c r="D26" s="1" t="s">
        <v>96</v>
      </c>
      <c r="E26" s="1" t="s">
        <v>338</v>
      </c>
      <c r="F26" s="1" t="n">
        <v>10</v>
      </c>
    </row>
    <row r="27" customFormat="false" ht="15" hidden="false" customHeight="false" outlineLevel="0" collapsed="false">
      <c r="A27" s="1" t="n">
        <v>25</v>
      </c>
      <c r="B27" s="3" t="s">
        <v>98</v>
      </c>
      <c r="C27" s="1" t="s">
        <v>98</v>
      </c>
      <c r="D27" s="1" t="s">
        <v>339</v>
      </c>
      <c r="E27" s="1" t="s">
        <v>340</v>
      </c>
      <c r="F27" s="1" t="n">
        <v>10</v>
      </c>
    </row>
    <row r="28" customFormat="false" ht="15" hidden="false" customHeight="false" outlineLevel="0" collapsed="false">
      <c r="E28" s="1" t="s">
        <v>1</v>
      </c>
      <c r="F28" s="1" t="n">
        <f aca="false">COUNTIF(F2:F27,"&gt;0")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5546875" defaultRowHeight="15" zeroHeight="false" outlineLevelRow="0" outlineLevelCol="0"/>
  <cols>
    <col collapsed="false" customWidth="true" hidden="false" outlineLevel="0" max="1" min="1" style="1" width="3.32"/>
    <col collapsed="false" customWidth="true" hidden="false" outlineLevel="0" max="3" min="2" style="1" width="18.83"/>
    <col collapsed="false" customWidth="true" hidden="false" outlineLevel="0" max="5" min="4" style="1" width="21.95"/>
  </cols>
  <sheetData>
    <row r="1" customFormat="false" ht="15" hidden="false" customHeight="false" outlineLevel="0" collapsed="false">
      <c r="C1" s="1" t="s">
        <v>5</v>
      </c>
      <c r="D1" s="1" t="s">
        <v>6</v>
      </c>
      <c r="E1" s="1" t="s">
        <v>129</v>
      </c>
      <c r="F1" s="1" t="s">
        <v>130</v>
      </c>
    </row>
    <row r="2" customFormat="false" ht="15" hidden="false" customHeight="false" outlineLevel="0" collapsed="false">
      <c r="A2" s="1" t="n">
        <v>1</v>
      </c>
      <c r="B2" s="3" t="s">
        <v>13</v>
      </c>
      <c r="C2" s="1" t="s">
        <v>13</v>
      </c>
      <c r="D2" s="1" t="s">
        <v>14</v>
      </c>
      <c r="E2" s="1" t="s">
        <v>341</v>
      </c>
      <c r="F2" s="1" t="n">
        <v>10</v>
      </c>
    </row>
    <row r="3" customFormat="false" ht="15" hidden="false" customHeight="false" outlineLevel="0" collapsed="false">
      <c r="A3" s="1" t="n">
        <v>2</v>
      </c>
      <c r="B3" s="3" t="s">
        <v>19</v>
      </c>
      <c r="C3" s="1" t="s">
        <v>19</v>
      </c>
      <c r="D3" s="1" t="s">
        <v>20</v>
      </c>
      <c r="E3" s="1" t="s">
        <v>342</v>
      </c>
      <c r="F3" s="1" t="n">
        <v>5.29</v>
      </c>
    </row>
    <row r="4" customFormat="false" ht="15" hidden="false" customHeight="false" outlineLevel="0" collapsed="false">
      <c r="A4" s="1" t="n">
        <v>3</v>
      </c>
      <c r="B4" s="3" t="s">
        <v>22</v>
      </c>
      <c r="C4" s="1" t="s">
        <v>22</v>
      </c>
      <c r="D4" s="1" t="s">
        <v>23</v>
      </c>
      <c r="E4" s="1" t="s">
        <v>343</v>
      </c>
      <c r="F4" s="1" t="n">
        <v>8.04</v>
      </c>
    </row>
    <row r="5" customFormat="false" ht="15" hidden="false" customHeight="false" outlineLevel="0" collapsed="false">
      <c r="A5" s="1" t="n">
        <v>4</v>
      </c>
      <c r="B5" s="3" t="s">
        <v>26</v>
      </c>
      <c r="C5" s="1" t="s">
        <v>26</v>
      </c>
      <c r="D5" s="1" t="s">
        <v>27</v>
      </c>
      <c r="E5" s="1" t="s">
        <v>344</v>
      </c>
      <c r="F5" s="1" t="n">
        <v>5.49</v>
      </c>
    </row>
    <row r="6" customFormat="false" ht="15" hidden="false" customHeight="false" outlineLevel="0" collapsed="false">
      <c r="A6" s="1" t="n">
        <v>5</v>
      </c>
      <c r="B6" s="3" t="s">
        <v>29</v>
      </c>
      <c r="F6" s="1" t="n">
        <v>1</v>
      </c>
    </row>
    <row r="7" customFormat="false" ht="15" hidden="false" customHeight="false" outlineLevel="0" collapsed="false">
      <c r="A7" s="1" t="n">
        <v>6</v>
      </c>
      <c r="B7" s="3" t="s">
        <v>32</v>
      </c>
      <c r="C7" s="1" t="s">
        <v>32</v>
      </c>
      <c r="D7" s="1" t="s">
        <v>33</v>
      </c>
      <c r="E7" s="1" t="s">
        <v>345</v>
      </c>
      <c r="F7" s="1" t="n">
        <v>3.53</v>
      </c>
    </row>
    <row r="8" customFormat="false" ht="15" hidden="false" customHeight="false" outlineLevel="0" collapsed="false">
      <c r="A8" s="1" t="n">
        <v>7</v>
      </c>
      <c r="B8" s="3" t="s">
        <v>35</v>
      </c>
      <c r="C8" s="1" t="s">
        <v>35</v>
      </c>
      <c r="D8" s="1" t="s">
        <v>36</v>
      </c>
      <c r="E8" s="1" t="s">
        <v>346</v>
      </c>
      <c r="F8" s="1" t="n">
        <v>7.84</v>
      </c>
    </row>
    <row r="9" customFormat="false" ht="15" hidden="false" customHeight="false" outlineLevel="0" collapsed="false">
      <c r="A9" s="1" t="n">
        <v>8</v>
      </c>
      <c r="B9" s="3" t="s">
        <v>39</v>
      </c>
      <c r="C9" s="1" t="s">
        <v>39</v>
      </c>
      <c r="D9" s="1" t="s">
        <v>40</v>
      </c>
      <c r="E9" s="1" t="s">
        <v>347</v>
      </c>
      <c r="F9" s="1" t="n">
        <v>7.45</v>
      </c>
    </row>
    <row r="10" customFormat="false" ht="15" hidden="false" customHeight="false" outlineLevel="0" collapsed="false">
      <c r="A10" s="1" t="n">
        <v>9</v>
      </c>
      <c r="B10" s="3" t="s">
        <v>42</v>
      </c>
      <c r="C10" s="1" t="s">
        <v>42</v>
      </c>
      <c r="D10" s="1" t="s">
        <v>43</v>
      </c>
      <c r="E10" s="1" t="s">
        <v>348</v>
      </c>
      <c r="F10" s="1" t="n">
        <v>10</v>
      </c>
    </row>
    <row r="11" customFormat="false" ht="15" hidden="false" customHeight="false" outlineLevel="0" collapsed="false">
      <c r="A11" s="1" t="n">
        <v>10</v>
      </c>
      <c r="B11" s="3" t="s">
        <v>45</v>
      </c>
      <c r="C11" s="1" t="s">
        <v>45</v>
      </c>
      <c r="D11" s="1" t="s">
        <v>46</v>
      </c>
      <c r="E11" s="1" t="s">
        <v>349</v>
      </c>
      <c r="F11" s="1" t="n">
        <v>5.69</v>
      </c>
    </row>
    <row r="12" customFormat="false" ht="15" hidden="false" customHeight="false" outlineLevel="0" collapsed="false">
      <c r="A12" s="1" t="n">
        <v>26</v>
      </c>
      <c r="B12" s="3" t="s">
        <v>48</v>
      </c>
      <c r="C12" s="1" t="s">
        <v>48</v>
      </c>
      <c r="D12" s="1" t="s">
        <v>49</v>
      </c>
      <c r="E12" s="1" t="s">
        <v>350</v>
      </c>
      <c r="F12" s="1" t="n">
        <v>7.84</v>
      </c>
    </row>
    <row r="13" customFormat="false" ht="15" hidden="false" customHeight="false" outlineLevel="0" collapsed="false">
      <c r="A13" s="1" t="n">
        <v>11</v>
      </c>
      <c r="B13" s="3" t="s">
        <v>51</v>
      </c>
      <c r="C13" s="1" t="s">
        <v>51</v>
      </c>
      <c r="D13" s="1" t="s">
        <v>52</v>
      </c>
      <c r="E13" s="1" t="s">
        <v>351</v>
      </c>
      <c r="F13" s="1" t="n">
        <v>10</v>
      </c>
    </row>
    <row r="14" customFormat="false" ht="15" hidden="false" customHeight="false" outlineLevel="0" collapsed="false">
      <c r="A14" s="1" t="n">
        <v>12</v>
      </c>
      <c r="B14" s="3" t="s">
        <v>54</v>
      </c>
      <c r="C14" s="1" t="s">
        <v>54</v>
      </c>
      <c r="D14" s="1" t="s">
        <v>55</v>
      </c>
      <c r="E14" s="1" t="s">
        <v>352</v>
      </c>
      <c r="F14" s="1" t="n">
        <v>8.43</v>
      </c>
    </row>
    <row r="15" customFormat="false" ht="15" hidden="false" customHeight="false" outlineLevel="0" collapsed="false">
      <c r="A15" s="1" t="n">
        <v>13</v>
      </c>
      <c r="B15" s="3" t="s">
        <v>58</v>
      </c>
      <c r="C15" s="1" t="s">
        <v>58</v>
      </c>
      <c r="D15" s="1" t="s">
        <v>59</v>
      </c>
      <c r="E15" s="1" t="s">
        <v>353</v>
      </c>
      <c r="F15" s="1" t="n">
        <v>6.86</v>
      </c>
    </row>
    <row r="16" customFormat="false" ht="15" hidden="false" customHeight="false" outlineLevel="0" collapsed="false">
      <c r="A16" s="1" t="n">
        <v>14</v>
      </c>
      <c r="B16" s="3" t="s">
        <v>61</v>
      </c>
      <c r="C16" s="1" t="s">
        <v>61</v>
      </c>
      <c r="D16" s="1" t="s">
        <v>62</v>
      </c>
      <c r="E16" s="1" t="s">
        <v>258</v>
      </c>
      <c r="F16" s="1" t="n">
        <v>9.61</v>
      </c>
    </row>
    <row r="17" customFormat="false" ht="15" hidden="false" customHeight="false" outlineLevel="0" collapsed="false">
      <c r="A17" s="1" t="n">
        <v>15</v>
      </c>
      <c r="B17" s="3" t="s">
        <v>64</v>
      </c>
      <c r="C17" s="1" t="s">
        <v>68</v>
      </c>
      <c r="D17" s="1" t="s">
        <v>69</v>
      </c>
      <c r="E17" s="1" t="s">
        <v>354</v>
      </c>
      <c r="F17" s="1" t="n">
        <v>7.45</v>
      </c>
    </row>
    <row r="18" customFormat="false" ht="15" hidden="false" customHeight="false" outlineLevel="0" collapsed="false">
      <c r="A18" s="1" t="n">
        <v>16</v>
      </c>
      <c r="B18" s="3" t="s">
        <v>68</v>
      </c>
      <c r="F18" s="1" t="n">
        <v>1</v>
      </c>
    </row>
    <row r="19" customFormat="false" ht="15" hidden="false" customHeight="false" outlineLevel="0" collapsed="false">
      <c r="A19" s="1" t="n">
        <v>17</v>
      </c>
      <c r="B19" s="3" t="s">
        <v>71</v>
      </c>
      <c r="C19" s="1" t="s">
        <v>71</v>
      </c>
      <c r="D19" s="1" t="s">
        <v>72</v>
      </c>
      <c r="E19" s="1" t="s">
        <v>355</v>
      </c>
      <c r="F19" s="1" t="n">
        <v>7.84</v>
      </c>
    </row>
    <row r="20" customFormat="false" ht="15" hidden="false" customHeight="false" outlineLevel="0" collapsed="false">
      <c r="A20" s="1" t="n">
        <v>18</v>
      </c>
      <c r="B20" s="3" t="s">
        <v>74</v>
      </c>
      <c r="C20" s="1" t="s">
        <v>74</v>
      </c>
      <c r="D20" s="1" t="s">
        <v>75</v>
      </c>
      <c r="E20" s="1" t="s">
        <v>356</v>
      </c>
      <c r="F20" s="1" t="n">
        <v>8.24</v>
      </c>
    </row>
    <row r="21" customFormat="false" ht="15" hidden="false" customHeight="false" outlineLevel="0" collapsed="false">
      <c r="A21" s="1" t="n">
        <v>19</v>
      </c>
      <c r="B21" s="3" t="s">
        <v>77</v>
      </c>
      <c r="C21" s="1" t="s">
        <v>77</v>
      </c>
      <c r="D21" s="1" t="s">
        <v>78</v>
      </c>
      <c r="E21" s="1" t="s">
        <v>357</v>
      </c>
      <c r="F21" s="1" t="n">
        <v>5.1</v>
      </c>
    </row>
    <row r="22" customFormat="false" ht="15" hidden="false" customHeight="false" outlineLevel="0" collapsed="false">
      <c r="A22" s="1" t="n">
        <v>20</v>
      </c>
      <c r="B22" s="3" t="s">
        <v>81</v>
      </c>
      <c r="C22" s="1" t="s">
        <v>81</v>
      </c>
      <c r="D22" s="1" t="s">
        <v>82</v>
      </c>
      <c r="E22" s="1" t="s">
        <v>358</v>
      </c>
      <c r="F22" s="1" t="n">
        <v>8.82</v>
      </c>
    </row>
    <row r="23" customFormat="false" ht="15" hidden="false" customHeight="false" outlineLevel="0" collapsed="false">
      <c r="A23" s="1" t="n">
        <v>21</v>
      </c>
      <c r="B23" s="3" t="s">
        <v>84</v>
      </c>
      <c r="C23" s="1" t="s">
        <v>84</v>
      </c>
      <c r="D23" s="1" t="s">
        <v>85</v>
      </c>
      <c r="E23" s="1" t="s">
        <v>359</v>
      </c>
      <c r="F23" s="1" t="n">
        <v>9.02</v>
      </c>
    </row>
    <row r="24" customFormat="false" ht="15" hidden="false" customHeight="false" outlineLevel="0" collapsed="false">
      <c r="A24" s="1" t="n">
        <v>22</v>
      </c>
      <c r="B24" s="3" t="s">
        <v>87</v>
      </c>
      <c r="C24" s="1" t="s">
        <v>87</v>
      </c>
      <c r="D24" s="1" t="s">
        <v>88</v>
      </c>
      <c r="E24" s="1" t="s">
        <v>360</v>
      </c>
      <c r="F24" s="1" t="n">
        <v>10</v>
      </c>
    </row>
    <row r="25" customFormat="false" ht="15" hidden="false" customHeight="false" outlineLevel="0" collapsed="false">
      <c r="A25" s="1" t="n">
        <v>23</v>
      </c>
      <c r="B25" s="3" t="s">
        <v>90</v>
      </c>
      <c r="C25" s="1" t="s">
        <v>90</v>
      </c>
      <c r="D25" s="1" t="s">
        <v>91</v>
      </c>
      <c r="E25" s="1" t="s">
        <v>361</v>
      </c>
      <c r="F25" s="1" t="n">
        <v>10</v>
      </c>
    </row>
    <row r="26" customFormat="false" ht="15" hidden="false" customHeight="false" outlineLevel="0" collapsed="false">
      <c r="A26" s="1" t="n">
        <v>24</v>
      </c>
      <c r="B26" s="3" t="s">
        <v>95</v>
      </c>
      <c r="C26" s="1" t="s">
        <v>95</v>
      </c>
      <c r="D26" s="1" t="s">
        <v>96</v>
      </c>
      <c r="E26" s="1" t="s">
        <v>362</v>
      </c>
      <c r="F26" s="1" t="n">
        <v>10</v>
      </c>
    </row>
    <row r="27" customFormat="false" ht="15" hidden="false" customHeight="false" outlineLevel="0" collapsed="false">
      <c r="A27" s="1" t="n">
        <v>25</v>
      </c>
      <c r="B27" s="3" t="s">
        <v>98</v>
      </c>
      <c r="C27" s="1" t="s">
        <v>98</v>
      </c>
      <c r="D27" s="1" t="s">
        <v>339</v>
      </c>
      <c r="E27" s="1" t="s">
        <v>363</v>
      </c>
      <c r="F27" s="1" t="n">
        <v>7.65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2025-05-05T16:27:59Z</dcterms:created>
  <dc:creator/>
  <dc:description/>
  <dc:language>es-AR</dc:language>
  <cp:lastModifiedBy/>
  <dcterms:modified xsi:type="dcterms:W3CDTF">2025-12-01T14:50:36Z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