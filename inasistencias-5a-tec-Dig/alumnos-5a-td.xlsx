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positivos" sheetId="3" state="visible" r:id="rId5"/>
    <sheet name="1-codigos" sheetId="4" state="visible" r:id="rId6"/>
    <sheet name="1-recu+" sheetId="5" state="visible" r:id="rId7"/>
    <sheet name="2-alg.de boole" sheetId="6" state="visible" r:id="rId8"/>
    <sheet name="3-compue" sheetId="7" state="visible" r:id="rId9"/>
    <sheet name="5-salidas" sheetId="8" state="visible" r:id="rId10"/>
    <sheet name="5-RecuP" sheetId="9" state="visible" r:id="rId11"/>
    <sheet name="6-if" sheetId="10" state="visible" r:id="rId12"/>
    <sheet name="evalucion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<sst xmlns="http://schemas.openxmlformats.org/spreadsheetml/2006/main" count="1124" uniqueCount="326">
  <si>
    <t xml:space="preserve">total</t>
  </si>
  <si>
    <t xml:space="preserve">Diciembre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</si>
  <si>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</si>
  <si>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</si>
  <si>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</si>
  <si>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</si>
  <si>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</si>
  <si>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</si>
  <si>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Medio</t>
  </si>
  <si>
    <t xml:space="preserve">tarde</t>
  </si>
  <si>
    <t xml:space="preserve">nota</t>
  </si>
  <si>
    <t xml:space="preserve">media</t>
  </si>
  <si>
    <t xml:space="preserve">nota asistencia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</si>
  <si>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</si>
  <si>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</si>
  <si>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</si>
  <si>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</si>
  <si>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M</t>
  </si>
  <si>
    <t xml:space="preserve">A</t>
  </si>
  <si>
    <t xml:space="preserve">Lourdes Elizabeth</t>
  </si>
  <si>
    <t xml:space="preserve">ANDRADA BASCOPE</t>
  </si>
  <si>
    <t xml:space="preserve">gralraul71@gmail.com</t>
  </si>
  <si>
    <t xml:space="preserve">Germán Ezequiel</t>
  </si>
  <si>
    <t xml:space="preserve">APURIL</t>
  </si>
  <si>
    <t xml:space="preserve">gerapuril@gmail.com</t>
  </si>
  <si>
    <t xml:space="preserve">Lautaro Francisco</t>
  </si>
  <si>
    <t xml:space="preserve">AYBAR</t>
  </si>
  <si>
    <t xml:space="preserve">aybarguillermo@gmail.com</t>
  </si>
  <si>
    <t xml:space="preserve">T</t>
  </si>
  <si>
    <t xml:space="preserve">Sathya</t>
  </si>
  <si>
    <t xml:space="preserve">bertola galizzi</t>
  </si>
  <si>
    <t xml:space="preserve">sathyxzz@gmail.com</t>
  </si>
  <si>
    <t xml:space="preserve">Santiago</t>
  </si>
  <si>
    <t xml:space="preserve">BIROCCO FRETES</t>
  </si>
  <si>
    <t xml:space="preserve">SANTIAGOBIROCCOFRETES@GMAIL.COM</t>
  </si>
  <si>
    <t xml:space="preserve">Mateo Ignacio</t>
  </si>
  <si>
    <t xml:space="preserve">BRUNO</t>
  </si>
  <si>
    <t xml:space="preserve">mateoibruno5@gmail.com</t>
  </si>
  <si>
    <t xml:space="preserve">p</t>
  </si>
  <si>
    <t xml:space="preserve">Mirko</t>
  </si>
  <si>
    <t xml:space="preserve">Dellana</t>
  </si>
  <si>
    <t xml:space="preserve">mirkod2009@gmail.com</t>
  </si>
  <si>
    <t xml:space="preserve">olimpiadas</t>
  </si>
  <si>
    <t xml:space="preserve">O</t>
  </si>
  <si>
    <t xml:space="preserve">Liam Yoel</t>
  </si>
  <si>
    <t xml:space="preserve">DI FEBO</t>
  </si>
  <si>
    <t xml:space="preserve">liamdifebo15@gmail.com</t>
  </si>
  <si>
    <t xml:space="preserve">Francisco Gael</t>
  </si>
  <si>
    <t xml:space="preserve">Dimeo</t>
  </si>
  <si>
    <t xml:space="preserve">dimeofrancisco@gmail.com</t>
  </si>
  <si>
    <t xml:space="preserve">Ausente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</si>
  <si>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</si>
  <si>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</si>
  <si>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</si>
  <si>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</si>
  <si>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</si>
  <si>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</si>
  <si>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</si>
  <si>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</si>
  <si>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</si>
  <si>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</si>
  <si>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</si>
  <si>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</si>
  <si>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</si>
  <si>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</si>
  <si>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</si>
  <si>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</si>
  <si>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</t>
  </si>
  <si>
    <t xml:space="preserve">gabrieladelpino10@gmail.com</t>
  </si>
  <si>
    <t xml:space="preserve">Facundo Ariel</t>
  </si>
  <si>
    <t xml:space="preserve">MEDINA</t>
  </si>
  <si>
    <t xml:space="preserve">48376287@gmail.com</t>
  </si>
  <si>
    <t xml:space="preserve">Avril</t>
  </si>
  <si>
    <t xml:space="preserve">RODRIGUEZ MIÑO</t>
  </si>
  <si>
    <t xml:space="preserve">victor209118@gmail.com</t>
  </si>
  <si>
    <t xml:space="preserve">Araceli Rosario Abigail</t>
  </si>
  <si>
    <t xml:space="preserve">SANTIBAÑEZ RAMÍREZ</t>
  </si>
  <si>
    <t xml:space="preserve">habibiaraceli08@gmail.com</t>
  </si>
  <si>
    <t xml:space="preserve">se fue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</si>
  <si>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</si>
  <si>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</si>
  <si>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</si>
  <si>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</si>
  <si>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</si>
  <si>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</si>
  <si>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</si>
  <si>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</t>
  </si>
  <si>
    <t xml:space="preserve">zarragaramiro01@gmail.com</t>
  </si>
  <si>
    <t xml:space="preserve">media falta</t>
  </si>
  <si>
    <t xml:space="preserve">toal</t>
  </si>
  <si>
    <t xml:space="preserve">1er Cuat</t>
  </si>
  <si>
    <t xml:space="preserve">2do Cuat</t>
  </si>
  <si>
    <t xml:space="preserve">Nota Diciembre</t>
  </si>
  <si>
    <t xml:space="preserve">observaciones</t>
  </si>
  <si>
    <t xml:space="preserve">Febrero</t>
  </si>
  <si>
    <t xml:space="preserve">1-codigo</t>
  </si>
  <si>
    <t xml:space="preserve">Recup</t>
  </si>
  <si>
    <t xml:space="preserve">2-alg boole</t>
  </si>
  <si>
    <t xml:space="preserve">3-compuertas</t>
  </si>
  <si>
    <t xml:space="preserve">5-salidas</t>
  </si>
  <si>
    <t xml:space="preserve">positios</t>
  </si>
  <si>
    <t xml:space="preserve">5+positivos</t>
  </si>
  <si>
    <t xml:space="preserve">promedio</t>
  </si>
  <si>
    <t xml:space="preserve">valoracion</t>
  </si>
  <si>
    <t xml:space="preserve">6-if</t>
  </si>
  <si>
    <t xml:space="preserve">Evaluacion</t>
  </si>
  <si>
    <t xml:space="preserve">asistencia</t>
  </si>
  <si>
    <t xml:space="preserve">1-salidas</t>
  </si>
  <si>
    <t xml:space="preserve">2-if</t>
  </si>
  <si>
    <t xml:space="preserve">3-cilcos</t>
  </si>
  <si>
    <t xml:space="preserve">4-funciones</t>
  </si>
  <si>
    <t xml:space="preserve">5-pulsador</t>
  </si>
  <si>
    <t xml:space="preserve">6-pulsador ext</t>
  </si>
  <si>
    <t xml:space="preserve">7-7 seg -1</t>
  </si>
  <si>
    <t xml:space="preserve">8- 7 seg-2</t>
  </si>
  <si>
    <t xml:space="preserve">9-robot</t>
  </si>
  <si>
    <t xml:space="preserve">10 carpeta</t>
  </si>
  <si>
    <t xml:space="preserve">Asistencia</t>
  </si>
  <si>
    <t xml:space="preserve">positivos</t>
  </si>
  <si>
    <t xml:space="preserve">Asis+pos</t>
  </si>
  <si>
    <t xml:space="preserve">Final</t>
  </si>
  <si>
    <t xml:space="preserve">Recuperacion Agosto</t>
  </si>
  <si>
    <t xml:space="preserve">Aprobo</t>
  </si>
  <si>
    <t xml:space="preserve">ausente</t>
  </si>
  <si>
    <t xml:space="preserve">Aprobado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</si>
  <si>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</si>
  <si>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</si>
  <si>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</si>
  <si>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</si>
  <si>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final</t>
  </si>
  <si>
    <t xml:space="preserve">4 de abril de 2025  12:30</t>
  </si>
  <si>
    <t xml:space="preserve">8 minutos 30 segundos</t>
  </si>
  <si>
    <t xml:space="preserve">4 de abril de 2025  23:16</t>
  </si>
  <si>
    <t xml:space="preserve">12 minutos 49 segundos</t>
  </si>
  <si>
    <t xml:space="preserve">4 de abril de 2025  12:26</t>
  </si>
  <si>
    <t xml:space="preserve">1 día 16 horas</t>
  </si>
  <si>
    <t xml:space="preserve">3 de abril de 2025  00:13</t>
  </si>
  <si>
    <t xml:space="preserve">20 minutos 55 segundos</t>
  </si>
  <si>
    <t xml:space="preserve">4 de abril de 2025  20:10</t>
  </si>
  <si>
    <t xml:space="preserve">36 minutos 17 segundos</t>
  </si>
  <si>
    <t xml:space="preserve">4 de abril de 2025  13:26</t>
  </si>
  <si>
    <t xml:space="preserve">14 minutos 58 segundos</t>
  </si>
  <si>
    <t xml:space="preserve">4 de abril de 2025  12:36</t>
  </si>
  <si>
    <t xml:space="preserve">17 minutos 31 segundos</t>
  </si>
  <si>
    <t xml:space="preserve">6 minutos 58 segundos</t>
  </si>
  <si>
    <t xml:space="preserve">2 de abril de 2025  17:16</t>
  </si>
  <si>
    <t xml:space="preserve">18 minutos 21 segundos</t>
  </si>
  <si>
    <t xml:space="preserve">4 de abril de 2025  13:18</t>
  </si>
  <si>
    <t xml:space="preserve">59 minutos 16 segundos</t>
  </si>
  <si>
    <t xml:space="preserve">4 de abril de 2025  12:56</t>
  </si>
  <si>
    <t xml:space="preserve">32 minutos 58 segundos</t>
  </si>
  <si>
    <t xml:space="preserve">4 de abril de 2025  12:37</t>
  </si>
  <si>
    <t xml:space="preserve">6 minutos 33 segundos</t>
  </si>
  <si>
    <t xml:space="preserve">4 de abril de 2025  12:42</t>
  </si>
  <si>
    <t xml:space="preserve">19 minutos 38 segundos</t>
  </si>
  <si>
    <t xml:space="preserve">4 de abril de 2025  13:45</t>
  </si>
  <si>
    <t xml:space="preserve">4 minutos 18 segundos</t>
  </si>
  <si>
    <t xml:space="preserve">4 de abril de 2025  23:49</t>
  </si>
  <si>
    <t xml:space="preserve">3 minutos 56 segundos</t>
  </si>
  <si>
    <t xml:space="preserve">4 de abril de 2025  22:41</t>
  </si>
  <si>
    <t xml:space="preserve">6 minutos 53 segundos</t>
  </si>
  <si>
    <t xml:space="preserve">4 de abril de 2025  12:25</t>
  </si>
  <si>
    <t xml:space="preserve">5 minutos 49 segundos</t>
  </si>
  <si>
    <t xml:space="preserve">4 de abril de 2025  21:45</t>
  </si>
  <si>
    <t xml:space="preserve">11 minutos 50 segundos</t>
  </si>
  <si>
    <t xml:space="preserve">4 de abril de 2025  20:39</t>
  </si>
  <si>
    <t xml:space="preserve">19 minutos 5 segundos</t>
  </si>
  <si>
    <t xml:space="preserve">21 minutos 21 segundos</t>
  </si>
  <si>
    <t xml:space="preserve">4 de abril de 2025  12:31</t>
  </si>
  <si>
    <t xml:space="preserve">3 días 17 horas</t>
  </si>
  <si>
    <t xml:space="preserve">Calificación/9,00</t>
  </si>
  <si>
    <t xml:space="preserve">17 de abril de 2025  19:45</t>
  </si>
  <si>
    <t xml:space="preserve">5 minutos 14 segundos</t>
  </si>
  <si>
    <t xml:space="preserve">4 de abril de 2025  22:59</t>
  </si>
  <si>
    <t xml:space="preserve">8 minutos 32 segundos</t>
  </si>
  <si>
    <t xml:space="preserve">4 de abril de 2025  23:23</t>
  </si>
  <si>
    <t xml:space="preserve">6 minutos 37 segundos</t>
  </si>
  <si>
    <t xml:space="preserve">4 de abril de 2025  12:32</t>
  </si>
  <si>
    <t xml:space="preserve">3 de abril de 2025  00:37</t>
  </si>
  <si>
    <t xml:space="preserve">9 minutos 28 segundos</t>
  </si>
  <si>
    <t xml:space="preserve">4 de abril de 2025  20:33</t>
  </si>
  <si>
    <t xml:space="preserve">5 minutos 36 segundos</t>
  </si>
  <si>
    <t xml:space="preserve">4 de abril de 2025  19:11</t>
  </si>
  <si>
    <t xml:space="preserve">3 minutos 38 segundos</t>
  </si>
  <si>
    <t xml:space="preserve">4 de abril de 2025  22:01</t>
  </si>
  <si>
    <t xml:space="preserve">2 de abril de 2025  17:22</t>
  </si>
  <si>
    <t xml:space="preserve">5 minutos 8 segundos</t>
  </si>
  <si>
    <t xml:space="preserve">4 de abril de 2025  15:24</t>
  </si>
  <si>
    <t xml:space="preserve">2 horas 1 minutos</t>
  </si>
  <si>
    <t xml:space="preserve">4 de abril de 2025  12:50</t>
  </si>
  <si>
    <t xml:space="preserve">12 minutos 3 segundos</t>
  </si>
  <si>
    <t xml:space="preserve">4 de abril de 2025  19:39</t>
  </si>
  <si>
    <t xml:space="preserve">5 minutos 40 segundos</t>
  </si>
  <si>
    <t xml:space="preserve">4 de abril de 2025  13:53</t>
  </si>
  <si>
    <t xml:space="preserve">6 minutos 46 segundos</t>
  </si>
  <si>
    <t xml:space="preserve">4 de abril de 2025  23:44</t>
  </si>
  <si>
    <t xml:space="preserve">3 minutos 45 segundos</t>
  </si>
  <si>
    <t xml:space="preserve">4 de abril de 2025  22:47</t>
  </si>
  <si>
    <t xml:space="preserve">5 minutos 28 segundos</t>
  </si>
  <si>
    <t xml:space="preserve">4 de abril de 2025  23:07</t>
  </si>
  <si>
    <t xml:space="preserve">4 minutos 4 segundos</t>
  </si>
  <si>
    <t xml:space="preserve">4 de abril de 2025  21:33</t>
  </si>
  <si>
    <t xml:space="preserve">11 minutos 24 segundos</t>
  </si>
  <si>
    <t xml:space="preserve">4 de abril de 2025  21:19</t>
  </si>
  <si>
    <t xml:space="preserve">7 minutos 54 segundos</t>
  </si>
  <si>
    <t xml:space="preserve">4 de abril de 2025  21:07</t>
  </si>
  <si>
    <t xml:space="preserve">8 minutos 1 segundos</t>
  </si>
  <si>
    <t xml:space="preserve">4 de abril de 2025  20:48</t>
  </si>
  <si>
    <t xml:space="preserve">8 minutos 3 segundos</t>
  </si>
  <si>
    <t xml:space="preserve">4 de abril de 2025  20:58</t>
  </si>
  <si>
    <t xml:space="preserve">8 minutos 49 segundos</t>
  </si>
  <si>
    <t xml:space="preserve">4 de abril de 2025  22:27</t>
  </si>
  <si>
    <t xml:space="preserve">3 minutos 25 segundos</t>
  </si>
  <si>
    <t xml:space="preserve">4 de abril de 2025  22:44</t>
  </si>
  <si>
    <t xml:space="preserve">10 minutos 9 segundos</t>
  </si>
  <si>
    <t xml:space="preserve">4 de abril de 2025  23:41</t>
  </si>
  <si>
    <t xml:space="preserve">17 minutos 33 segundos</t>
  </si>
  <si>
    <t xml:space="preserve">4 de abril de 2025  22:14</t>
  </si>
  <si>
    <t xml:space="preserve">2 días 1 hora</t>
  </si>
  <si>
    <t xml:space="preserve">3 de abril de 2025  00:28</t>
  </si>
  <si>
    <t xml:space="preserve">14 minutos 7 segundos</t>
  </si>
  <si>
    <t xml:space="preserve">4 de abril de 2025  20:27</t>
  </si>
  <si>
    <t xml:space="preserve">15 minutos 22 segundos</t>
  </si>
  <si>
    <t xml:space="preserve">4 de abril de 2025  19:22</t>
  </si>
  <si>
    <t xml:space="preserve">10 minutos 38 segundos</t>
  </si>
  <si>
    <t xml:space="preserve">4 de abril de 2025  22:08</t>
  </si>
  <si>
    <t xml:space="preserve">6 minutos 10 segundos</t>
  </si>
  <si>
    <t xml:space="preserve">2 de abril de 2025  17:31</t>
  </si>
  <si>
    <t xml:space="preserve">9 minutos 17 segundos</t>
  </si>
  <si>
    <t xml:space="preserve">4 de abril de 2025  20:05</t>
  </si>
  <si>
    <t xml:space="preserve">10 minutos 15 segundos</t>
  </si>
  <si>
    <t xml:space="preserve">4 de abril de 2025  22:33</t>
  </si>
  <si>
    <t xml:space="preserve">22 minutos 55 segundos</t>
  </si>
  <si>
    <t xml:space="preserve">4 de abril de 2025  13:17</t>
  </si>
  <si>
    <t xml:space="preserve">9 minutos 6 segundos</t>
  </si>
  <si>
    <t xml:space="preserve">4 de abril de 2025  19:58</t>
  </si>
  <si>
    <t xml:space="preserve">17 minutos 41 segundos</t>
  </si>
  <si>
    <t xml:space="preserve">4 de abril de 2025  14:02</t>
  </si>
  <si>
    <t xml:space="preserve">8 minutos 56 segundos</t>
  </si>
  <si>
    <t xml:space="preserve">4 de abril de 2025  23:20</t>
  </si>
  <si>
    <t xml:space="preserve">6 minutos 27 segundos</t>
  </si>
  <si>
    <t xml:space="preserve">4 de abril de 2025  22:55</t>
  </si>
  <si>
    <t xml:space="preserve">6 minutos</t>
  </si>
  <si>
    <t xml:space="preserve">4 de abril de 2025  23:48</t>
  </si>
  <si>
    <t xml:space="preserve">15 minutos 56 segundos</t>
  </si>
  <si>
    <t xml:space="preserve">4 de abril de 2025  21:57</t>
  </si>
  <si>
    <t xml:space="preserve">10 minutos 46 segundos</t>
  </si>
  <si>
    <t xml:space="preserve">4 de abril de 2025  22:23</t>
  </si>
  <si>
    <t xml:space="preserve">5 minutos 50 segundos</t>
  </si>
  <si>
    <t xml:space="preserve">29 de abril de 2025  13:55</t>
  </si>
  <si>
    <t xml:space="preserve">6 minutos 41 segundos</t>
  </si>
  <si>
    <t xml:space="preserve">28 de abril de 2025  00:03</t>
  </si>
  <si>
    <t xml:space="preserve">8 minutos 47 segundos</t>
  </si>
  <si>
    <t xml:space="preserve">28 de abril de 2025  18:51</t>
  </si>
  <si>
    <t xml:space="preserve">8 minutos 9 segundos</t>
  </si>
  <si>
    <t xml:space="preserve">26 de abril de 2025  19:41</t>
  </si>
  <si>
    <t xml:space="preserve">10 minutos 1 segundos</t>
  </si>
  <si>
    <t xml:space="preserve">28 de abril de 2025  18:21</t>
  </si>
  <si>
    <t xml:space="preserve">8 minutos 26 segundos</t>
  </si>
  <si>
    <t xml:space="preserve">27 de abril de 2025  18:00</t>
  </si>
  <si>
    <t xml:space="preserve">9 minutos 39 segundos</t>
  </si>
  <si>
    <t xml:space="preserve">28 de abril de 2025  17:14</t>
  </si>
  <si>
    <t xml:space="preserve">9 minutos 59 segundos</t>
  </si>
  <si>
    <t xml:space="preserve">28 de abril de 2025  22:17</t>
  </si>
  <si>
    <t xml:space="preserve">3 minutos 24 segundos</t>
  </si>
  <si>
    <t xml:space="preserve">29 de abril de 2025  09:30</t>
  </si>
  <si>
    <t xml:space="preserve">1 segundos</t>
  </si>
  <si>
    <t xml:space="preserve">5 de mayo de 2025  17:11</t>
  </si>
  <si>
    <t xml:space="preserve">6 días 19 horas</t>
  </si>
  <si>
    <t xml:space="preserve">28 de abril de 2025  19:05</t>
  </si>
  <si>
    <t xml:space="preserve">3 minutos 58 segundos</t>
  </si>
  <si>
    <t xml:space="preserve">28 de abril de 2025  18:27</t>
  </si>
  <si>
    <t xml:space="preserve">6 minutos 15 segundos</t>
  </si>
  <si>
    <t xml:space="preserve">6 de mayo de 2025  22:20</t>
  </si>
  <si>
    <t xml:space="preserve">5 minutos 12 segundos</t>
  </si>
  <si>
    <t xml:space="preserve">5 de mayo de 2025  17:21</t>
  </si>
  <si>
    <t xml:space="preserve">6 minutos 29 segundos</t>
  </si>
  <si>
    <t xml:space="preserve">7 de mayo de 2025  23:39</t>
  </si>
  <si>
    <t xml:space="preserve">6 minutos 5 segundos</t>
  </si>
  <si>
    <t xml:space="preserve">7 de mayo de 2025  21:51</t>
  </si>
  <si>
    <t xml:space="preserve">6 minutos 31 segundos</t>
  </si>
  <si>
    <t xml:space="preserve">7 de mayo de 2025  22:00</t>
  </si>
  <si>
    <t xml:space="preserve">3 minutos 15 segundos</t>
  </si>
  <si>
    <t xml:space="preserve">7 de mayo de 2025  23:45</t>
  </si>
  <si>
    <t xml:space="preserve">4 minutos 6 segundos</t>
  </si>
  <si>
    <t xml:space="preserve">7 de mayo de 2025  23:48</t>
  </si>
  <si>
    <t xml:space="preserve">3 minutos 10 segundos</t>
  </si>
  <si>
    <t xml:space="preserve">7 de mayo de 2025  21:43</t>
  </si>
  <si>
    <t xml:space="preserve">7 de mayo de 2025  23:31</t>
  </si>
  <si>
    <t xml:space="preserve">5 minutos 54 segundos</t>
  </si>
  <si>
    <t xml:space="preserve">5 de mayo de 2025  22:40</t>
  </si>
  <si>
    <t xml:space="preserve">8 minutos 59 segundos</t>
  </si>
  <si>
    <t xml:space="preserve">2 minutos 55 segundos</t>
  </si>
  <si>
    <t xml:space="preserve">7 de mayo de 2025  18:32</t>
  </si>
  <si>
    <t xml:space="preserve">9 minutos 55 segundos</t>
  </si>
  <si>
    <t xml:space="preserve">9 minutos 5 segundos</t>
  </si>
  <si>
    <t xml:space="preserve">9 minutos 49 segundos</t>
  </si>
  <si>
    <t xml:space="preserve">5 minutos 42 segundos</t>
  </si>
  <si>
    <t xml:space="preserve">5 minutos 37 segundos</t>
  </si>
  <si>
    <t xml:space="preserve">9 minutos 23 segundos</t>
  </si>
  <si>
    <t xml:space="preserve">8 minutos 8 segundos</t>
  </si>
  <si>
    <t xml:space="preserve">8 minutos 58 segundos</t>
  </si>
  <si>
    <t xml:space="preserve">2 minutos 48 segundos</t>
  </si>
  <si>
    <t xml:space="preserve">8 minutos 4 segundos</t>
  </si>
  <si>
    <t xml:space="preserve">8 minutos 43 segundos</t>
  </si>
  <si>
    <t xml:space="preserve">5 minutos 11 segundos</t>
  </si>
  <si>
    <t xml:space="preserve">45 minutos 55 segundos</t>
  </si>
  <si>
    <t xml:space="preserve">55 minutos 45 segundos</t>
  </si>
  <si>
    <t xml:space="preserve">51 minutos 36 segundos</t>
  </si>
  <si>
    <t xml:space="preserve">1 hora 1 minutos</t>
  </si>
  <si>
    <t xml:space="preserve">49 minutos 32 segundos</t>
  </si>
  <si>
    <t xml:space="preserve">38 minutos 33 segundos</t>
  </si>
  <si>
    <t xml:space="preserve">34 minutos 42 segundos</t>
  </si>
  <si>
    <t xml:space="preserve">40 minutos 33 segundos</t>
  </si>
  <si>
    <t xml:space="preserve">58 minutos 14 segundos</t>
  </si>
  <si>
    <t xml:space="preserve">26 minutos 52 segundos</t>
  </si>
  <si>
    <t xml:space="preserve">32 minutos 44 segundos</t>
  </si>
  <si>
    <t xml:space="preserve">46 minutos 20 segundos</t>
  </si>
  <si>
    <t xml:space="preserve">47 minutos 24 segundos</t>
  </si>
  <si>
    <t xml:space="preserve">58 minutos 19 segundos</t>
  </si>
  <si>
    <t xml:space="preserve">53 minutos 23 segundos</t>
  </si>
  <si>
    <t xml:space="preserve">59 minutos 29 segundos</t>
  </si>
  <si>
    <t xml:space="preserve">53 minutos 37 segundos</t>
  </si>
  <si>
    <t xml:space="preserve">36 minutos 42 segundos</t>
  </si>
  <si>
    <t xml:space="preserve">45 minutos 59 segundos</t>
  </si>
  <si>
    <t xml:space="preserve">46 minutos 32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</si>
</sst>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107"/>
        <bgColor rgb="FFFFBF00"/>
      </patternFill>
    </fill>
    <fill>
      <patternFill patternType="solid">
        <fgColor rgb="FF81D41A"/>
        <bgColor rgb="FF969696"/>
      </patternFill>
    </fill>
    <fill>
      <patternFill patternType="solid">
        <fgColor rgb="FFFFBF00"/>
        <bgColor rgb="FFFFC10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107"/>
      <rgbColor rgb="FFFFB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X24" activeCellId="0" sqref="AX24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1.34"/>
    <col collapsed="false" customWidth="true" hidden="true" outlineLevel="0" max="4" min="4" style="1" width="35.71"/>
    <col collapsed="false" customWidth="true" hidden="true" outlineLevel="0" max="11" min="5" style="1" width="8.68"/>
    <col collapsed="false" customWidth="true" hidden="true" outlineLevel="0" max="12" min="12" style="1" width="12.64"/>
    <col collapsed="false" customWidth="true" hidden="true" outlineLevel="0" max="22" min="13" style="1" width="8.68"/>
    <col collapsed="false" customWidth="false" hidden="true" outlineLevel="0" max="42" min="23" style="1" width="8.75"/>
  </cols>
  <sheetData>
    <row r="1" customFormat="false" ht="15" hidden="false" customHeight="false" outlineLevel="0" collapsed="false">
      <c r="B1" s="2"/>
      <c r="C1" s="2"/>
      <c r="D1" s="2"/>
      <c r="E1" s="3"/>
      <c r="G1" s="3"/>
      <c r="H1" s="3"/>
      <c r="J1" s="3"/>
      <c r="L1" s="3"/>
      <c r="M1" s="3"/>
      <c r="O1" s="3"/>
      <c r="V1" s="1" t="s">
        <v>0</v>
      </c>
      <c r="W1" s="1" t="n">
        <v>7</v>
      </c>
      <c r="AR1" s="2"/>
      <c r="AU1" s="1"/>
      <c r="AV1" s="1"/>
      <c r="AW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  <c r="C2" s="2" t="s">
        <v>4</v>
      </c>
      <c r="D2" s="2" t="s">
        <v>5</v>
      </c>
      <c r="E2" s="3" t="n">
        <v>45800</v>
      </c>
      <c r="F2" s="1" t="s">
        <v>6</v>
      </c>
      <c r="G2" s="3" t="n">
        <v>45807</v>
      </c>
      <c r="H2" s="3" t="n">
        <v>45814</v>
      </c>
      <c r="I2" s="1" t="s">
        <v>6</v>
      </c>
      <c r="J2" s="3" t="n">
        <v>45821</v>
      </c>
      <c r="K2" s="1" t="s">
        <v>6</v>
      </c>
      <c r="L2" s="3" t="n">
        <v>45835</v>
      </c>
      <c r="M2" s="3" t="n">
        <v>45842</v>
      </c>
      <c r="N2" s="1" t="s">
        <v>6</v>
      </c>
      <c r="O2" s="3" t="n">
        <v>45849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7</v>
      </c>
      <c r="U2" s="1" t="s">
        <v>10</v>
      </c>
      <c r="V2" s="1" t="s">
        <v>10</v>
      </c>
      <c r="W2" s="3" t="n">
        <v>45856</v>
      </c>
      <c r="X2" s="3" t="n">
        <v>45898</v>
      </c>
      <c r="Y2" s="1" t="s">
        <v>6</v>
      </c>
      <c r="Z2" s="3" t="n">
        <v>45905</v>
      </c>
      <c r="AA2" s="1" t="s">
        <v>6</v>
      </c>
      <c r="AB2" s="3" t="n">
        <v>45919</v>
      </c>
      <c r="AC2" s="1" t="s">
        <v>6</v>
      </c>
      <c r="AD2" s="3" t="n">
        <v>45926</v>
      </c>
      <c r="AE2" s="1" t="s">
        <v>6</v>
      </c>
      <c r="AF2" s="3" t="n">
        <v>45933</v>
      </c>
      <c r="AG2" s="1" t="s">
        <v>6</v>
      </c>
      <c r="AH2" s="3" t="n">
        <v>45947</v>
      </c>
      <c r="AI2" s="2" t="s">
        <v>6</v>
      </c>
      <c r="AJ2" s="3" t="n">
        <v>45954</v>
      </c>
      <c r="AK2" s="3" t="n">
        <v>45961</v>
      </c>
      <c r="AL2" s="2" t="s">
        <v>6</v>
      </c>
      <c r="AM2" s="2" t="s">
        <v>7</v>
      </c>
      <c r="AN2" s="2" t="s">
        <v>11</v>
      </c>
      <c r="AO2" s="2" t="s">
        <v>9</v>
      </c>
      <c r="AP2" s="2" t="s">
        <v>10</v>
      </c>
      <c r="AQ2" s="3" t="n">
        <v>45996</v>
      </c>
      <c r="AR2" s="2" t="s">
        <v>6</v>
      </c>
      <c r="AS2" s="3" t="n">
        <v>46003</v>
      </c>
      <c r="AT2" s="3" t="s">
        <v>6</v>
      </c>
      <c r="AU2" s="2" t="s">
        <v>7</v>
      </c>
      <c r="AV2" s="2" t="s">
        <v>9</v>
      </c>
      <c r="AW2" s="2" t="s">
        <v>12</v>
      </c>
    </row>
    <row r="3" customFormat="false" ht="15" hidden="true" customHeight="false" outlineLevel="0" collapsed="false">
      <c r="A3" s="1" t="n">
        <v>1</v>
      </c>
      <c r="B3" s="2" t="s">
        <v>13</v>
      </c>
      <c r="C3" s="2" t="s">
        <v>14</v>
      </c>
      <c r="D3" s="2" t="s">
        <v>15</v>
      </c>
      <c r="E3" s="1" t="s">
        <v>16</v>
      </c>
      <c r="G3" s="1" t="s">
        <v>16</v>
      </c>
      <c r="H3" s="1" t="s">
        <v>16</v>
      </c>
      <c r="J3" s="1" t="s">
        <v>16</v>
      </c>
      <c r="L3" s="1" t="s">
        <v>16</v>
      </c>
      <c r="M3" s="1" t="s">
        <v>16</v>
      </c>
      <c r="O3" s="1" t="s">
        <v>17</v>
      </c>
      <c r="P3" s="4" t="n">
        <v>0.520833333333333</v>
      </c>
      <c r="Q3" s="1" t="n">
        <f aca="false">COUNTIF(E3:O3,"P")</f>
        <v>6</v>
      </c>
      <c r="R3" s="1" t="n">
        <f aca="false">COUNTIF(E3:O3,"M")</f>
        <v>1</v>
      </c>
      <c r="S3" s="1" t="n">
        <f aca="false">COUNTIF(E3:O3,"T")</f>
        <v>0</v>
      </c>
      <c r="T3" s="1" t="n">
        <f aca="false">ROUND(Q3+R3/2+S3/4,0)</f>
        <v>7</v>
      </c>
      <c r="V3" s="5" t="n">
        <f aca="false">ROUND(T3*10/$W$1,0)</f>
        <v>10</v>
      </c>
      <c r="W3" s="1" t="s">
        <v>18</v>
      </c>
      <c r="X3" s="1" t="s">
        <v>16</v>
      </c>
      <c r="Z3" s="1" t="s">
        <v>16</v>
      </c>
      <c r="AB3" s="1" t="s">
        <v>18</v>
      </c>
      <c r="AD3" s="1" t="s">
        <v>16</v>
      </c>
      <c r="AF3" s="1" t="s">
        <v>18</v>
      </c>
      <c r="AH3" s="2" t="s">
        <v>16</v>
      </c>
      <c r="AJ3" s="2" t="s">
        <v>16</v>
      </c>
      <c r="AK3" s="2" t="s">
        <v>16</v>
      </c>
      <c r="AM3" s="2" t="n">
        <f aca="false">COUNTIF(W3:AL3,"p")</f>
        <v>6</v>
      </c>
      <c r="AN3" s="2" t="n">
        <f aca="false">COUNTIF(W3:AL3,"M")</f>
        <v>0</v>
      </c>
      <c r="AO3" s="2" t="n">
        <f aca="false">COUNTIF(W3:AL3,"T")</f>
        <v>0</v>
      </c>
      <c r="AP3" s="6" t="n">
        <f aca="false">ROUND((AM3+AN3/2+AO3/4)*10/9,0)</f>
        <v>7</v>
      </c>
    </row>
    <row r="4" customFormat="false" ht="15" hidden="true" customHeight="false" outlineLevel="0" collapsed="false">
      <c r="A4" s="1" t="n">
        <v>2</v>
      </c>
      <c r="B4" s="2" t="s">
        <v>19</v>
      </c>
      <c r="C4" s="2" t="s">
        <v>20</v>
      </c>
      <c r="D4" s="2" t="s">
        <v>21</v>
      </c>
      <c r="E4" s="1" t="s">
        <v>16</v>
      </c>
      <c r="G4" s="1" t="s">
        <v>16</v>
      </c>
      <c r="H4" s="1" t="s">
        <v>16</v>
      </c>
      <c r="J4" s="1" t="s">
        <v>16</v>
      </c>
      <c r="L4" s="1" t="s">
        <v>16</v>
      </c>
      <c r="M4" s="1" t="s">
        <v>16</v>
      </c>
      <c r="O4" s="1" t="s">
        <v>16</v>
      </c>
      <c r="Q4" s="1" t="n">
        <f aca="false">COUNTIF(E4:O4,"P")</f>
        <v>7</v>
      </c>
      <c r="R4" s="1" t="n">
        <f aca="false">COUNTIF(E4:O4,"M")</f>
        <v>0</v>
      </c>
      <c r="S4" s="1" t="n">
        <f aca="false">COUNTIF(E4:O4,"T")</f>
        <v>0</v>
      </c>
      <c r="T4" s="1" t="n">
        <f aca="false">ROUND(Q4+R4/2+S4/4,0)</f>
        <v>7</v>
      </c>
      <c r="V4" s="5" t="n">
        <f aca="false">ROUND(T4*10/$W$1,0)</f>
        <v>10</v>
      </c>
      <c r="W4" s="1" t="s">
        <v>16</v>
      </c>
      <c r="X4" s="1" t="s">
        <v>16</v>
      </c>
      <c r="Z4" s="1" t="s">
        <v>16</v>
      </c>
      <c r="AB4" s="1" t="s">
        <v>16</v>
      </c>
      <c r="AD4" s="1" t="s">
        <v>16</v>
      </c>
      <c r="AF4" s="1" t="s">
        <v>16</v>
      </c>
      <c r="AH4" s="2" t="s">
        <v>16</v>
      </c>
      <c r="AJ4" s="2" t="s">
        <v>16</v>
      </c>
      <c r="AK4" s="2" t="s">
        <v>16</v>
      </c>
      <c r="AM4" s="2" t="n">
        <f aca="false">COUNTIF(W4:AL4,"p")</f>
        <v>9</v>
      </c>
      <c r="AN4" s="2" t="n">
        <f aca="false">COUNTIF(W4:AL4,"M")</f>
        <v>0</v>
      </c>
      <c r="AO4" s="2" t="n">
        <f aca="false">COUNTIF(W4:AL4,"T")</f>
        <v>0</v>
      </c>
      <c r="AP4" s="6" t="n">
        <f aca="false">ROUND((AM4+AN4/2+AO4/4)*10/9,0)</f>
        <v>10</v>
      </c>
    </row>
    <row r="5" customFormat="false" ht="15" hidden="true" customHeight="false" outlineLevel="0" collapsed="false">
      <c r="A5" s="1" t="n">
        <v>3</v>
      </c>
      <c r="B5" s="2" t="s">
        <v>22</v>
      </c>
      <c r="C5" s="2" t="s">
        <v>23</v>
      </c>
      <c r="D5" s="2" t="s">
        <v>24</v>
      </c>
      <c r="E5" s="1" t="s">
        <v>16</v>
      </c>
      <c r="G5" s="1" t="s">
        <v>16</v>
      </c>
      <c r="H5" s="1" t="s">
        <v>16</v>
      </c>
      <c r="J5" s="1" t="s">
        <v>16</v>
      </c>
      <c r="L5" s="1" t="s">
        <v>16</v>
      </c>
      <c r="M5" s="1" t="s">
        <v>16</v>
      </c>
      <c r="O5" s="1" t="s">
        <v>17</v>
      </c>
      <c r="P5" s="4" t="n">
        <v>0.520833333333333</v>
      </c>
      <c r="Q5" s="1" t="n">
        <f aca="false">COUNTIF(E5:O5,"P")</f>
        <v>6</v>
      </c>
      <c r="R5" s="1" t="n">
        <f aca="false">COUNTIF(E5:O5,"M")</f>
        <v>1</v>
      </c>
      <c r="S5" s="1" t="n">
        <f aca="false">COUNTIF(E5:O5,"T")</f>
        <v>0</v>
      </c>
      <c r="T5" s="1" t="n">
        <f aca="false">ROUND(Q5+R5/2+S5/4,0)</f>
        <v>7</v>
      </c>
      <c r="V5" s="5" t="n">
        <f aca="false">ROUND(T5*10/$W$1,0)</f>
        <v>10</v>
      </c>
      <c r="W5" s="1" t="s">
        <v>16</v>
      </c>
      <c r="X5" s="1" t="s">
        <v>16</v>
      </c>
      <c r="Z5" s="1" t="s">
        <v>16</v>
      </c>
      <c r="AB5" s="1" t="s">
        <v>18</v>
      </c>
      <c r="AD5" s="1" t="s">
        <v>16</v>
      </c>
      <c r="AF5" s="1" t="s">
        <v>18</v>
      </c>
      <c r="AH5" s="2" t="s">
        <v>16</v>
      </c>
      <c r="AJ5" s="2" t="s">
        <v>18</v>
      </c>
      <c r="AK5" s="2" t="s">
        <v>16</v>
      </c>
      <c r="AM5" s="2" t="n">
        <f aca="false">COUNTIF(W5:AL5,"p")</f>
        <v>6</v>
      </c>
      <c r="AN5" s="2" t="n">
        <f aca="false">COUNTIF(W5:AL5,"M")</f>
        <v>0</v>
      </c>
      <c r="AO5" s="2" t="n">
        <f aca="false">COUNTIF(W5:AL5,"T")</f>
        <v>0</v>
      </c>
      <c r="AP5" s="6" t="n">
        <f aca="false">ROUND((AM5+AN5/2+AO5/4)*10/9,0)</f>
        <v>7</v>
      </c>
    </row>
    <row r="6" customFormat="false" ht="15" hidden="true" customHeight="false" outlineLevel="0" collapsed="false">
      <c r="A6" s="1" t="n">
        <v>4</v>
      </c>
      <c r="B6" s="2" t="s">
        <v>25</v>
      </c>
      <c r="C6" s="2" t="s">
        <v>26</v>
      </c>
      <c r="D6" s="2" t="s">
        <v>27</v>
      </c>
      <c r="E6" s="1" t="s">
        <v>16</v>
      </c>
      <c r="G6" s="1" t="s">
        <v>18</v>
      </c>
      <c r="H6" s="1" t="s">
        <v>18</v>
      </c>
      <c r="J6" s="1" t="s">
        <v>16</v>
      </c>
      <c r="L6" s="1" t="s">
        <v>16</v>
      </c>
      <c r="M6" s="1" t="s">
        <v>18</v>
      </c>
      <c r="O6" s="1" t="s">
        <v>28</v>
      </c>
      <c r="P6" s="4" t="n">
        <v>0.53125</v>
      </c>
      <c r="Q6" s="1" t="n">
        <f aca="false">COUNTIF(E6:O6,"P")</f>
        <v>3</v>
      </c>
      <c r="R6" s="1" t="n">
        <f aca="false">COUNTIF(E6:O6,"M")</f>
        <v>0</v>
      </c>
      <c r="S6" s="1" t="n">
        <f aca="false">COUNTIF(E6:O6,"T")</f>
        <v>1</v>
      </c>
      <c r="T6" s="1" t="n">
        <f aca="false">ROUND(Q6+R6/2+S6/4,0)</f>
        <v>3</v>
      </c>
      <c r="V6" s="5" t="n">
        <f aca="false">ROUND(T6*10/$W$1,0)</f>
        <v>4</v>
      </c>
      <c r="W6" s="1" t="s">
        <v>18</v>
      </c>
      <c r="X6" s="1" t="s">
        <v>16</v>
      </c>
      <c r="Z6" s="1" t="s">
        <v>16</v>
      </c>
      <c r="AB6" s="1" t="s">
        <v>18</v>
      </c>
      <c r="AD6" s="1" t="s">
        <v>16</v>
      </c>
      <c r="AF6" s="1" t="s">
        <v>16</v>
      </c>
      <c r="AH6" s="2" t="s">
        <v>16</v>
      </c>
      <c r="AJ6" s="2" t="s">
        <v>16</v>
      </c>
      <c r="AK6" s="2" t="s">
        <v>16</v>
      </c>
      <c r="AM6" s="2" t="n">
        <f aca="false">COUNTIF(W6:AL6,"p")</f>
        <v>7</v>
      </c>
      <c r="AN6" s="2" t="n">
        <f aca="false">COUNTIF(W6:AL6,"M")</f>
        <v>0</v>
      </c>
      <c r="AO6" s="2" t="n">
        <f aca="false">COUNTIF(W6:AL6,"T")</f>
        <v>0</v>
      </c>
      <c r="AP6" s="6" t="n">
        <f aca="false">ROUND((AM6+AN6/2+AO6/4)*10/9,0)</f>
        <v>8</v>
      </c>
    </row>
    <row r="7" customFormat="false" ht="15" hidden="true" customHeight="false" outlineLevel="0" collapsed="false">
      <c r="A7" s="1" t="n">
        <v>5</v>
      </c>
      <c r="B7" s="2" t="s">
        <v>29</v>
      </c>
      <c r="C7" s="2" t="s">
        <v>30</v>
      </c>
      <c r="D7" s="2" t="s">
        <v>31</v>
      </c>
      <c r="E7" s="1" t="s">
        <v>28</v>
      </c>
      <c r="F7" s="4" t="n">
        <v>0.555555555555556</v>
      </c>
      <c r="G7" s="1" t="s">
        <v>16</v>
      </c>
      <c r="H7" s="1" t="s">
        <v>28</v>
      </c>
      <c r="I7" s="4" t="n">
        <v>0.527777777777778</v>
      </c>
      <c r="J7" s="1" t="s">
        <v>16</v>
      </c>
      <c r="L7" s="1" t="s">
        <v>18</v>
      </c>
      <c r="M7" s="1" t="s">
        <v>18</v>
      </c>
      <c r="O7" s="1" t="s">
        <v>28</v>
      </c>
      <c r="P7" s="4" t="n">
        <v>0.548611111111111</v>
      </c>
      <c r="Q7" s="1" t="n">
        <f aca="false">COUNTIF(E7:O7,"P")</f>
        <v>2</v>
      </c>
      <c r="R7" s="1" t="n">
        <f aca="false">COUNTIF(E7:O7,"M")</f>
        <v>0</v>
      </c>
      <c r="S7" s="1" t="n">
        <f aca="false">COUNTIF(E7:O7,"T")</f>
        <v>3</v>
      </c>
      <c r="T7" s="1" t="n">
        <f aca="false">ROUND(Q7+R7/2+S7/4,0)</f>
        <v>3</v>
      </c>
      <c r="V7" s="5" t="n">
        <f aca="false">ROUND(T7*10/$W$1,0)</f>
        <v>4</v>
      </c>
      <c r="W7" s="1" t="s">
        <v>18</v>
      </c>
      <c r="X7" s="1" t="s">
        <v>28</v>
      </c>
      <c r="Y7" s="4" t="n">
        <v>0.532638888888889</v>
      </c>
      <c r="Z7" s="1" t="s">
        <v>16</v>
      </c>
      <c r="AB7" s="1" t="s">
        <v>16</v>
      </c>
      <c r="AD7" s="1" t="s">
        <v>28</v>
      </c>
      <c r="AE7" s="4" t="n">
        <v>0.572916666666667</v>
      </c>
      <c r="AF7" s="1" t="s">
        <v>18</v>
      </c>
      <c r="AH7" s="2" t="s">
        <v>16</v>
      </c>
      <c r="AJ7" s="2" t="s">
        <v>18</v>
      </c>
      <c r="AK7" s="2" t="s">
        <v>18</v>
      </c>
      <c r="AM7" s="2" t="n">
        <f aca="false">COUNTIF(W7:AL7,"p")</f>
        <v>3</v>
      </c>
      <c r="AN7" s="2" t="n">
        <f aca="false">COUNTIF(W7:AL7,"M")</f>
        <v>0</v>
      </c>
      <c r="AO7" s="2" t="n">
        <f aca="false">COUNTIF(W7:AL7,"T")</f>
        <v>2</v>
      </c>
      <c r="AP7" s="6" t="n">
        <f aca="false">ROUND((AM7+AN7/2+AO7/4)*10/9,0)</f>
        <v>4</v>
      </c>
    </row>
    <row r="8" s="8" customFormat="true" ht="15" hidden="true" customHeight="false" outlineLevel="0" collapsed="false">
      <c r="A8" s="7" t="n">
        <v>6</v>
      </c>
      <c r="B8" s="8" t="s">
        <v>32</v>
      </c>
      <c r="C8" s="8" t="s">
        <v>33</v>
      </c>
      <c r="D8" s="8" t="s">
        <v>34</v>
      </c>
      <c r="E8" s="7" t="s">
        <v>16</v>
      </c>
      <c r="F8" s="7"/>
      <c r="G8" s="7" t="s">
        <v>16</v>
      </c>
      <c r="H8" s="7" t="s">
        <v>16</v>
      </c>
      <c r="I8" s="7"/>
      <c r="J8" s="7" t="s">
        <v>16</v>
      </c>
      <c r="K8" s="7"/>
      <c r="L8" s="7" t="s">
        <v>16</v>
      </c>
      <c r="M8" s="7" t="s">
        <v>16</v>
      </c>
      <c r="N8" s="7"/>
      <c r="O8" s="7" t="s">
        <v>16</v>
      </c>
      <c r="P8" s="7"/>
      <c r="Q8" s="7" t="n">
        <f aca="false">COUNTIF(E8:O8,"P")</f>
        <v>7</v>
      </c>
      <c r="R8" s="7" t="n">
        <f aca="false">COUNTIF(E8:O8,"M")</f>
        <v>0</v>
      </c>
      <c r="S8" s="7" t="n">
        <f aca="false">COUNTIF(E8:O8,"T")</f>
        <v>0</v>
      </c>
      <c r="T8" s="7" t="n">
        <f aca="false">ROUND(Q8+R8/2+S8/4,0)</f>
        <v>7</v>
      </c>
      <c r="U8" s="7"/>
      <c r="V8" s="9" t="n">
        <f aca="false">ROUND(T8*10/$W$1,0)</f>
        <v>10</v>
      </c>
      <c r="W8" s="7" t="s">
        <v>18</v>
      </c>
      <c r="X8" s="7" t="s">
        <v>16</v>
      </c>
      <c r="Y8" s="7"/>
      <c r="Z8" s="7" t="s">
        <v>17</v>
      </c>
      <c r="AA8" s="10" t="n">
        <v>0.517361111111111</v>
      </c>
      <c r="AB8" s="7" t="s">
        <v>16</v>
      </c>
      <c r="AC8" s="7"/>
      <c r="AD8" s="7" t="s">
        <v>28</v>
      </c>
      <c r="AE8" s="10" t="n">
        <v>0.520833333333333</v>
      </c>
      <c r="AF8" s="7" t="s">
        <v>18</v>
      </c>
      <c r="AG8" s="7"/>
      <c r="AH8" s="8" t="s">
        <v>16</v>
      </c>
      <c r="AI8" s="7"/>
      <c r="AJ8" s="8" t="s">
        <v>16</v>
      </c>
      <c r="AK8" s="8" t="s">
        <v>18</v>
      </c>
      <c r="AL8" s="7"/>
      <c r="AM8" s="8" t="n">
        <f aca="false">COUNTIF(W8:AL8,"p")</f>
        <v>4</v>
      </c>
      <c r="AN8" s="8" t="n">
        <f aca="false">COUNTIF(W8:AL8,"M")</f>
        <v>1</v>
      </c>
      <c r="AO8" s="8" t="n">
        <f aca="false">COUNTIF(W8:AL8,"T")</f>
        <v>1</v>
      </c>
      <c r="AP8" s="11" t="n">
        <f aca="false">ROUND((AM8+AN8/2+AO8/4)*10/9,0)</f>
        <v>5</v>
      </c>
      <c r="AQ8" s="8" t="s">
        <v>16</v>
      </c>
      <c r="AS8" s="8" t="s">
        <v>18</v>
      </c>
    </row>
    <row r="9" customFormat="false" ht="15" hidden="true" customHeight="false" outlineLevel="0" collapsed="false">
      <c r="A9" s="1" t="n">
        <v>7</v>
      </c>
      <c r="B9" s="2" t="s">
        <v>35</v>
      </c>
      <c r="C9" s="2" t="s">
        <v>36</v>
      </c>
      <c r="D9" s="2" t="s">
        <v>37</v>
      </c>
      <c r="E9" s="1" t="s">
        <v>16</v>
      </c>
      <c r="G9" s="1" t="s">
        <v>16</v>
      </c>
      <c r="H9" s="1" t="s">
        <v>16</v>
      </c>
      <c r="J9" s="1" t="s">
        <v>16</v>
      </c>
      <c r="L9" s="1" t="s">
        <v>16</v>
      </c>
      <c r="M9" s="1" t="s">
        <v>17</v>
      </c>
      <c r="N9" s="4" t="n">
        <v>0.520833333333333</v>
      </c>
      <c r="O9" s="1" t="s">
        <v>16</v>
      </c>
      <c r="Q9" s="1" t="n">
        <f aca="false">COUNTIF(E9:O9,"P")</f>
        <v>6</v>
      </c>
      <c r="R9" s="1" t="n">
        <f aca="false">COUNTIF(E9:O9,"M")</f>
        <v>1</v>
      </c>
      <c r="S9" s="1" t="n">
        <f aca="false">COUNTIF(E9:O9,"T")</f>
        <v>0</v>
      </c>
      <c r="T9" s="1" t="n">
        <f aca="false">ROUND(Q9+R9/2+S9/4,0)</f>
        <v>7</v>
      </c>
      <c r="V9" s="5" t="n">
        <f aca="false">ROUND(T9*10/$W$1,0)</f>
        <v>10</v>
      </c>
      <c r="W9" s="1" t="s">
        <v>16</v>
      </c>
      <c r="X9" s="1" t="s">
        <v>16</v>
      </c>
      <c r="Z9" s="1" t="s">
        <v>16</v>
      </c>
      <c r="AB9" s="1" t="s">
        <v>16</v>
      </c>
      <c r="AD9" s="1" t="s">
        <v>38</v>
      </c>
      <c r="AF9" s="1" t="s">
        <v>16</v>
      </c>
      <c r="AH9" s="2" t="s">
        <v>16</v>
      </c>
      <c r="AJ9" s="2" t="s">
        <v>18</v>
      </c>
      <c r="AK9" s="2" t="s">
        <v>16</v>
      </c>
      <c r="AM9" s="2" t="n">
        <f aca="false">COUNTIF(W9:AL9,"p")</f>
        <v>8</v>
      </c>
      <c r="AN9" s="2" t="n">
        <f aca="false">COUNTIF(W9:AL9,"M")</f>
        <v>0</v>
      </c>
      <c r="AO9" s="2" t="n">
        <f aca="false">COUNTIF(W9:AL9,"T")</f>
        <v>0</v>
      </c>
      <c r="AP9" s="6" t="n">
        <f aca="false">ROUND((AM9+AN9/2+AO9/4)*10/9,0)</f>
        <v>9</v>
      </c>
    </row>
    <row r="10" customFormat="false" ht="15" hidden="true" customHeight="false" outlineLevel="0" collapsed="false">
      <c r="A10" s="1" t="n">
        <v>8</v>
      </c>
      <c r="B10" s="2" t="s">
        <v>39</v>
      </c>
      <c r="C10" s="2" t="s">
        <v>40</v>
      </c>
      <c r="D10" s="2" t="s">
        <v>41</v>
      </c>
      <c r="E10" s="1" t="s">
        <v>16</v>
      </c>
      <c r="G10" s="1" t="s">
        <v>16</v>
      </c>
      <c r="H10" s="1" t="s">
        <v>16</v>
      </c>
      <c r="I10" s="1" t="s">
        <v>42</v>
      </c>
      <c r="J10" s="1" t="s">
        <v>16</v>
      </c>
      <c r="L10" s="1" t="s">
        <v>16</v>
      </c>
      <c r="M10" s="1" t="s">
        <v>16</v>
      </c>
      <c r="O10" s="1" t="s">
        <v>16</v>
      </c>
      <c r="Q10" s="1" t="n">
        <f aca="false">COUNTIF(E10:O10,"P")</f>
        <v>7</v>
      </c>
      <c r="R10" s="1" t="n">
        <f aca="false">COUNTIF(E10:O10,"M")</f>
        <v>0</v>
      </c>
      <c r="S10" s="1" t="n">
        <f aca="false">COUNTIF(E10:O10,"T")</f>
        <v>0</v>
      </c>
      <c r="T10" s="1" t="n">
        <f aca="false">ROUND(Q10+R10/2+S10/4,0)</f>
        <v>7</v>
      </c>
      <c r="V10" s="5" t="n">
        <f aca="false">ROUND(T10*10/$W$1,0)</f>
        <v>10</v>
      </c>
      <c r="W10" s="1" t="s">
        <v>16</v>
      </c>
      <c r="X10" s="1" t="s">
        <v>16</v>
      </c>
      <c r="Z10" s="1" t="s">
        <v>16</v>
      </c>
      <c r="AB10" s="1" t="s">
        <v>16</v>
      </c>
      <c r="AD10" s="1" t="s">
        <v>16</v>
      </c>
      <c r="AF10" s="1" t="s">
        <v>16</v>
      </c>
      <c r="AH10" s="2" t="s">
        <v>43</v>
      </c>
      <c r="AI10" s="2" t="s">
        <v>42</v>
      </c>
      <c r="AJ10" s="2" t="s">
        <v>16</v>
      </c>
      <c r="AK10" s="2" t="s">
        <v>16</v>
      </c>
      <c r="AM10" s="2" t="n">
        <f aca="false">COUNTIF(W10:AL10,"p")</f>
        <v>8</v>
      </c>
      <c r="AN10" s="2" t="n">
        <f aca="false">COUNTIF(W10:AL10,"M")</f>
        <v>0</v>
      </c>
      <c r="AO10" s="2" t="n">
        <f aca="false">COUNTIF(W10:AL10,"T")</f>
        <v>0</v>
      </c>
      <c r="AP10" s="6" t="n">
        <f aca="false">ROUND((AM10+AN10/2+AO10/4)*10/9,0)</f>
        <v>9</v>
      </c>
    </row>
    <row r="11" customFormat="false" ht="15" hidden="true" customHeight="false" outlineLevel="0" collapsed="false">
      <c r="A11" s="1" t="n">
        <v>9</v>
      </c>
      <c r="B11" s="2" t="s">
        <v>44</v>
      </c>
      <c r="C11" s="2" t="s">
        <v>45</v>
      </c>
      <c r="D11" s="2" t="s">
        <v>46</v>
      </c>
      <c r="E11" s="1" t="s">
        <v>16</v>
      </c>
      <c r="G11" s="1" t="s">
        <v>16</v>
      </c>
      <c r="H11" s="1" t="s">
        <v>16</v>
      </c>
      <c r="J11" s="1" t="s">
        <v>16</v>
      </c>
      <c r="L11" s="1" t="s">
        <v>16</v>
      </c>
      <c r="M11" s="1" t="s">
        <v>16</v>
      </c>
      <c r="O11" s="1" t="s">
        <v>16</v>
      </c>
      <c r="Q11" s="1" t="n">
        <f aca="false">COUNTIF(E11:O11,"P")</f>
        <v>7</v>
      </c>
      <c r="R11" s="1" t="n">
        <f aca="false">COUNTIF(E11:O11,"M")</f>
        <v>0</v>
      </c>
      <c r="S11" s="1" t="n">
        <f aca="false">COUNTIF(E11:O11,"T")</f>
        <v>0</v>
      </c>
      <c r="T11" s="1" t="n">
        <f aca="false">ROUND(Q11+R11/2+S11/4,0)</f>
        <v>7</v>
      </c>
      <c r="V11" s="5" t="n">
        <f aca="false">ROUND(T11*10/$W$1,0)</f>
        <v>10</v>
      </c>
      <c r="W11" s="1" t="s">
        <v>16</v>
      </c>
      <c r="X11" s="1" t="s">
        <v>16</v>
      </c>
      <c r="Z11" s="1" t="s">
        <v>18</v>
      </c>
      <c r="AB11" s="1" t="s">
        <v>18</v>
      </c>
      <c r="AD11" s="1" t="s">
        <v>16</v>
      </c>
      <c r="AF11" s="1" t="s">
        <v>18</v>
      </c>
      <c r="AH11" s="2" t="s">
        <v>16</v>
      </c>
      <c r="AJ11" s="2" t="s">
        <v>18</v>
      </c>
      <c r="AK11" s="2" t="s">
        <v>18</v>
      </c>
      <c r="AM11" s="2" t="n">
        <f aca="false">COUNTIF(W11:AL11,"p")</f>
        <v>4</v>
      </c>
      <c r="AN11" s="2" t="n">
        <f aca="false">COUNTIF(W11:AL11,"M")</f>
        <v>0</v>
      </c>
      <c r="AO11" s="2" t="n">
        <f aca="false">COUNTIF(W11:AL11,"T")</f>
        <v>0</v>
      </c>
      <c r="AP11" s="6" t="n">
        <f aca="false">ROUND((AM11+AN11/2+AO11/4)*10/9,0)</f>
        <v>4</v>
      </c>
    </row>
    <row r="12" s="2" customFormat="true" ht="15" hidden="false" customHeight="false" outlineLevel="0" collapsed="false">
      <c r="A12" s="1" t="n">
        <v>10</v>
      </c>
      <c r="B12" s="2" t="s">
        <v>47</v>
      </c>
      <c r="C12" s="2" t="s">
        <v>48</v>
      </c>
      <c r="D12" s="2" t="s">
        <v>49</v>
      </c>
      <c r="E12" s="1" t="s">
        <v>16</v>
      </c>
      <c r="F12" s="1"/>
      <c r="G12" s="1" t="s">
        <v>16</v>
      </c>
      <c r="H12" s="1" t="s">
        <v>16</v>
      </c>
      <c r="I12" s="1"/>
      <c r="J12" s="1" t="s">
        <v>16</v>
      </c>
      <c r="K12" s="1"/>
      <c r="L12" s="1" t="s">
        <v>16</v>
      </c>
      <c r="M12" s="1" t="s">
        <v>16</v>
      </c>
      <c r="N12" s="1"/>
      <c r="O12" s="1" t="s">
        <v>16</v>
      </c>
      <c r="P12" s="1"/>
      <c r="Q12" s="1" t="n">
        <f aca="false">COUNTIF(E12:O12,"P")</f>
        <v>7</v>
      </c>
      <c r="R12" s="1" t="n">
        <f aca="false">COUNTIF(E12:O12,"M")</f>
        <v>0</v>
      </c>
      <c r="S12" s="1" t="n">
        <f aca="false">COUNTIF(E12:O12,"T")</f>
        <v>0</v>
      </c>
      <c r="T12" s="1" t="n">
        <f aca="false">ROUND(Q12+R12/2+S12/4,0)</f>
        <v>7</v>
      </c>
      <c r="U12" s="1"/>
      <c r="V12" s="5" t="n">
        <f aca="false">ROUND(T12*10/$W$1,0)</f>
        <v>10</v>
      </c>
      <c r="W12" s="1" t="s">
        <v>16</v>
      </c>
      <c r="X12" s="1" t="s">
        <v>16</v>
      </c>
      <c r="Y12" s="1"/>
      <c r="Z12" s="1" t="s">
        <v>16</v>
      </c>
      <c r="AA12" s="1"/>
      <c r="AB12" s="1" t="s">
        <v>18</v>
      </c>
      <c r="AC12" s="1"/>
      <c r="AD12" s="1" t="s">
        <v>16</v>
      </c>
      <c r="AE12" s="1"/>
      <c r="AF12" s="1" t="s">
        <v>16</v>
      </c>
      <c r="AG12" s="1"/>
      <c r="AH12" s="2" t="s">
        <v>16</v>
      </c>
      <c r="AI12" s="1"/>
      <c r="AJ12" s="2" t="s">
        <v>18</v>
      </c>
      <c r="AK12" s="2" t="s">
        <v>18</v>
      </c>
      <c r="AL12" s="1"/>
      <c r="AM12" s="2" t="n">
        <f aca="false">COUNTIF(W12:AL12,"p")</f>
        <v>6</v>
      </c>
      <c r="AN12" s="2" t="n">
        <f aca="false">COUNTIF(W12:AL12,"M")</f>
        <v>0</v>
      </c>
      <c r="AO12" s="2" t="n">
        <f aca="false">COUNTIF(W12:AL12,"T")</f>
        <v>0</v>
      </c>
      <c r="AP12" s="6" t="n">
        <f aca="false">ROUND((AM12+AN12/2+AO12/4)*10/9,0)</f>
        <v>7</v>
      </c>
      <c r="AQ12" s="2" t="s">
        <v>18</v>
      </c>
      <c r="AS12" s="2" t="s">
        <v>18</v>
      </c>
      <c r="AU12" s="2" t="n">
        <f aca="false">COUNTIF(AQ12:AS12,"P")</f>
        <v>0</v>
      </c>
      <c r="AV12" s="2" t="n">
        <f aca="false">COUNTIF(AQ12:AS12,"T")</f>
        <v>0</v>
      </c>
      <c r="AW12" s="12" t="n">
        <f aca="false">(AU12+AV12/4)*5</f>
        <v>0</v>
      </c>
      <c r="AX12" s="2" t="s">
        <v>50</v>
      </c>
    </row>
    <row r="13" s="1" customFormat="true" ht="15" hidden="true" customHeight="false" outlineLevel="0" collapsed="false">
      <c r="A13" s="1" t="n">
        <v>11</v>
      </c>
      <c r="B13" s="2" t="s">
        <v>51</v>
      </c>
      <c r="C13" s="2" t="s">
        <v>52</v>
      </c>
      <c r="D13" s="2" t="s">
        <v>53</v>
      </c>
      <c r="E13" s="1" t="s">
        <v>16</v>
      </c>
      <c r="G13" s="1" t="s">
        <v>16</v>
      </c>
      <c r="H13" s="1" t="s">
        <v>16</v>
      </c>
      <c r="I13" s="1" t="s">
        <v>42</v>
      </c>
      <c r="J13" s="1" t="s">
        <v>16</v>
      </c>
      <c r="L13" s="1" t="s">
        <v>16</v>
      </c>
      <c r="M13" s="1" t="s">
        <v>16</v>
      </c>
      <c r="O13" s="1" t="s">
        <v>16</v>
      </c>
      <c r="Q13" s="1" t="n">
        <f aca="false">COUNTIF(E13:O13,"P")</f>
        <v>7</v>
      </c>
      <c r="R13" s="1" t="n">
        <f aca="false">COUNTIF(E13:O13,"M")</f>
        <v>0</v>
      </c>
      <c r="S13" s="1" t="n">
        <f aca="false">COUNTIF(E13:O13,"T")</f>
        <v>0</v>
      </c>
      <c r="T13" s="1" t="n">
        <f aca="false">ROUND(Q13+R13/2+S13/4,0)</f>
        <v>7</v>
      </c>
      <c r="V13" s="5" t="n">
        <f aca="false">ROUND(T13*10/$W$1,0)</f>
        <v>10</v>
      </c>
      <c r="W13" s="1" t="s">
        <v>16</v>
      </c>
      <c r="X13" s="1" t="s">
        <v>16</v>
      </c>
      <c r="Z13" s="1" t="s">
        <v>16</v>
      </c>
      <c r="AB13" s="1" t="s">
        <v>16</v>
      </c>
      <c r="AD13" s="1" t="s">
        <v>28</v>
      </c>
      <c r="AE13" s="4" t="n">
        <v>0.520833333333333</v>
      </c>
      <c r="AF13" s="1" t="s">
        <v>16</v>
      </c>
      <c r="AH13" s="2" t="s">
        <v>43</v>
      </c>
      <c r="AI13" s="2" t="s">
        <v>42</v>
      </c>
      <c r="AJ13" s="2" t="s">
        <v>16</v>
      </c>
      <c r="AK13" s="2" t="s">
        <v>16</v>
      </c>
      <c r="AM13" s="2" t="n">
        <f aca="false">COUNTIF(W13:AL13,"p")</f>
        <v>7</v>
      </c>
      <c r="AN13" s="2" t="n">
        <f aca="false">COUNTIF(W13:AL13,"M")</f>
        <v>0</v>
      </c>
      <c r="AO13" s="2" t="n">
        <f aca="false">COUNTIF(W13:AL13,"T")</f>
        <v>1</v>
      </c>
      <c r="AP13" s="6" t="n">
        <f aca="false">ROUND((AM13+AN13/2+AO13/4)*10/9,0)</f>
        <v>8</v>
      </c>
    </row>
    <row r="14" s="1" customFormat="true" ht="15" hidden="true" customHeight="false" outlineLevel="0" collapsed="false">
      <c r="A14" s="1" t="n">
        <v>12</v>
      </c>
      <c r="B14" s="2" t="s">
        <v>54</v>
      </c>
      <c r="C14" s="2" t="s">
        <v>55</v>
      </c>
      <c r="D14" s="2" t="s">
        <v>56</v>
      </c>
      <c r="E14" s="1" t="s">
        <v>16</v>
      </c>
      <c r="G14" s="1" t="s">
        <v>16</v>
      </c>
      <c r="H14" s="1" t="s">
        <v>18</v>
      </c>
      <c r="J14" s="1" t="s">
        <v>16</v>
      </c>
      <c r="L14" s="1" t="s">
        <v>16</v>
      </c>
      <c r="M14" s="1" t="s">
        <v>16</v>
      </c>
      <c r="O14" s="1" t="s">
        <v>16</v>
      </c>
      <c r="Q14" s="1" t="n">
        <f aca="false">COUNTIF(E14:O14,"P")</f>
        <v>6</v>
      </c>
      <c r="R14" s="1" t="n">
        <f aca="false">COUNTIF(E14:O14,"M")</f>
        <v>0</v>
      </c>
      <c r="S14" s="1" t="n">
        <f aca="false">COUNTIF(E14:O14,"T")</f>
        <v>0</v>
      </c>
      <c r="T14" s="1" t="n">
        <f aca="false">ROUND(Q14+R14/2+S14/4,0)</f>
        <v>6</v>
      </c>
      <c r="V14" s="5" t="n">
        <f aca="false">ROUND(T14*10/$W$1,0)</f>
        <v>9</v>
      </c>
      <c r="W14" s="1" t="s">
        <v>18</v>
      </c>
      <c r="X14" s="1" t="s">
        <v>16</v>
      </c>
      <c r="Z14" s="1" t="s">
        <v>16</v>
      </c>
      <c r="AB14" s="1" t="s">
        <v>18</v>
      </c>
      <c r="AD14" s="1" t="s">
        <v>16</v>
      </c>
      <c r="AF14" s="1" t="s">
        <v>16</v>
      </c>
      <c r="AH14" s="2" t="s">
        <v>16</v>
      </c>
      <c r="AJ14" s="2" t="s">
        <v>18</v>
      </c>
      <c r="AK14" s="2" t="s">
        <v>16</v>
      </c>
      <c r="AM14" s="2" t="n">
        <f aca="false">COUNTIF(W14:AL14,"p")</f>
        <v>6</v>
      </c>
      <c r="AN14" s="2" t="n">
        <f aca="false">COUNTIF(W14:AL14,"M")</f>
        <v>0</v>
      </c>
      <c r="AO14" s="2" t="n">
        <f aca="false">COUNTIF(W14:AL14,"T")</f>
        <v>0</v>
      </c>
      <c r="AP14" s="6" t="n">
        <f aca="false">ROUND((AM14+AN14/2+AO14/4)*10/9,0)</f>
        <v>7</v>
      </c>
    </row>
    <row r="15" s="2" customFormat="true" ht="15" hidden="false" customHeight="false" outlineLevel="0" collapsed="false">
      <c r="A15" s="1" t="n">
        <v>13</v>
      </c>
      <c r="B15" s="2" t="s">
        <v>57</v>
      </c>
      <c r="C15" s="2" t="s">
        <v>58</v>
      </c>
      <c r="D15" s="2" t="s">
        <v>59</v>
      </c>
      <c r="E15" s="1" t="s">
        <v>16</v>
      </c>
      <c r="F15" s="1"/>
      <c r="G15" s="1" t="s">
        <v>16</v>
      </c>
      <c r="H15" s="1" t="s">
        <v>16</v>
      </c>
      <c r="I15" s="1"/>
      <c r="J15" s="1" t="s">
        <v>16</v>
      </c>
      <c r="K15" s="1"/>
      <c r="L15" s="1" t="s">
        <v>18</v>
      </c>
      <c r="M15" s="1" t="s">
        <v>16</v>
      </c>
      <c r="N15" s="1"/>
      <c r="O15" s="1" t="s">
        <v>16</v>
      </c>
      <c r="P15" s="1"/>
      <c r="Q15" s="1" t="n">
        <f aca="false">COUNTIF(E15:O15,"P")</f>
        <v>6</v>
      </c>
      <c r="R15" s="1" t="n">
        <f aca="false">COUNTIF(E15:O15,"M")</f>
        <v>0</v>
      </c>
      <c r="S15" s="1" t="n">
        <f aca="false">COUNTIF(E15:O15,"T")</f>
        <v>0</v>
      </c>
      <c r="T15" s="1" t="n">
        <f aca="false">ROUND(Q15+R15/2+S15/4,0)</f>
        <v>6</v>
      </c>
      <c r="U15" s="1"/>
      <c r="V15" s="5" t="n">
        <f aca="false">ROUND(T15*10/$W$1,0)</f>
        <v>9</v>
      </c>
      <c r="W15" s="1" t="s">
        <v>16</v>
      </c>
      <c r="X15" s="1" t="s">
        <v>18</v>
      </c>
      <c r="Y15" s="1"/>
      <c r="Z15" s="1" t="s">
        <v>16</v>
      </c>
      <c r="AA15" s="1"/>
      <c r="AB15" s="1" t="s">
        <v>16</v>
      </c>
      <c r="AC15" s="1"/>
      <c r="AD15" s="1" t="s">
        <v>16</v>
      </c>
      <c r="AE15" s="1"/>
      <c r="AF15" s="1" t="s">
        <v>16</v>
      </c>
      <c r="AG15" s="1"/>
      <c r="AH15" s="2" t="s">
        <v>16</v>
      </c>
      <c r="AI15" s="1"/>
      <c r="AJ15" s="2" t="s">
        <v>16</v>
      </c>
      <c r="AK15" s="2" t="s">
        <v>16</v>
      </c>
      <c r="AL15" s="1"/>
      <c r="AM15" s="2" t="n">
        <f aca="false">COUNTIF(W15:AL15,"p")</f>
        <v>8</v>
      </c>
      <c r="AN15" s="2" t="n">
        <f aca="false">COUNTIF(W15:AL15,"M")</f>
        <v>0</v>
      </c>
      <c r="AO15" s="2" t="n">
        <f aca="false">COUNTIF(W15:AL15,"T")</f>
        <v>0</v>
      </c>
      <c r="AP15" s="6" t="n">
        <f aca="false">ROUND((AM15+AN15/2+AO15/4)*10/9,0)</f>
        <v>9</v>
      </c>
      <c r="AQ15" s="2" t="s">
        <v>16</v>
      </c>
      <c r="AS15" s="2" t="s">
        <v>16</v>
      </c>
      <c r="AU15" s="2" t="n">
        <f aca="false">COUNTIF(AQ15:AS15,"P")</f>
        <v>2</v>
      </c>
      <c r="AV15" s="2" t="n">
        <f aca="false">COUNTIF(AQ15:AS15,"T")</f>
        <v>0</v>
      </c>
      <c r="AW15" s="12" t="n">
        <f aca="false">(AU15+AV15/4)*5</f>
        <v>10</v>
      </c>
    </row>
    <row r="16" s="1" customFormat="true" ht="15" hidden="true" customHeight="false" outlineLevel="0" collapsed="false">
      <c r="A16" s="1" t="n">
        <v>14</v>
      </c>
      <c r="B16" s="2" t="s">
        <v>60</v>
      </c>
      <c r="C16" s="2" t="s">
        <v>61</v>
      </c>
      <c r="D16" s="2" t="s">
        <v>62</v>
      </c>
      <c r="E16" s="1" t="s">
        <v>16</v>
      </c>
      <c r="G16" s="1" t="s">
        <v>16</v>
      </c>
      <c r="H16" s="1" t="s">
        <v>18</v>
      </c>
      <c r="J16" s="1" t="s">
        <v>16</v>
      </c>
      <c r="L16" s="1" t="s">
        <v>18</v>
      </c>
      <c r="M16" s="1" t="s">
        <v>16</v>
      </c>
      <c r="O16" s="1" t="s">
        <v>16</v>
      </c>
      <c r="Q16" s="1" t="n">
        <f aca="false">COUNTIF(E16:O16,"P")</f>
        <v>5</v>
      </c>
      <c r="R16" s="1" t="n">
        <f aca="false">COUNTIF(E16:O16,"M")</f>
        <v>0</v>
      </c>
      <c r="S16" s="1" t="n">
        <f aca="false">COUNTIF(E16:O16,"T")</f>
        <v>0</v>
      </c>
      <c r="T16" s="1" t="n">
        <f aca="false">ROUND(Q16+R16/2+S16/4,0)</f>
        <v>5</v>
      </c>
      <c r="V16" s="5" t="n">
        <f aca="false">ROUND(T16*10/$W$1,0)</f>
        <v>7</v>
      </c>
      <c r="W16" s="1" t="s">
        <v>16</v>
      </c>
      <c r="X16" s="1" t="s">
        <v>16</v>
      </c>
      <c r="Z16" s="1" t="s">
        <v>16</v>
      </c>
      <c r="AB16" s="1" t="s">
        <v>16</v>
      </c>
      <c r="AD16" s="1" t="s">
        <v>16</v>
      </c>
      <c r="AF16" s="1" t="s">
        <v>16</v>
      </c>
      <c r="AH16" s="2" t="s">
        <v>16</v>
      </c>
      <c r="AJ16" s="2" t="s">
        <v>16</v>
      </c>
      <c r="AK16" s="2" t="s">
        <v>16</v>
      </c>
      <c r="AM16" s="2" t="n">
        <f aca="false">COUNTIF(W16:AL16,"p")</f>
        <v>9</v>
      </c>
      <c r="AN16" s="2" t="n">
        <f aca="false">COUNTIF(W16:AL16,"M")</f>
        <v>0</v>
      </c>
      <c r="AO16" s="2" t="n">
        <f aca="false">COUNTIF(W16:AL16,"T")</f>
        <v>0</v>
      </c>
      <c r="AP16" s="6" t="n">
        <f aca="false">ROUND((AM16+AN16/2+AO16/4)*10/9,0)</f>
        <v>10</v>
      </c>
    </row>
    <row r="17" s="1" customFormat="true" ht="15" hidden="true" customHeight="false" outlineLevel="0" collapsed="false">
      <c r="A17" s="1" t="n">
        <v>15</v>
      </c>
      <c r="B17" s="2" t="s">
        <v>63</v>
      </c>
      <c r="C17" s="2" t="s">
        <v>64</v>
      </c>
      <c r="D17" s="2" t="s">
        <v>65</v>
      </c>
      <c r="E17" s="1" t="s">
        <v>16</v>
      </c>
      <c r="G17" s="1" t="s">
        <v>16</v>
      </c>
      <c r="H17" s="1" t="s">
        <v>16</v>
      </c>
      <c r="J17" s="1" t="s">
        <v>16</v>
      </c>
      <c r="L17" s="1" t="s">
        <v>16</v>
      </c>
      <c r="M17" s="1" t="s">
        <v>16</v>
      </c>
      <c r="O17" s="1" t="s">
        <v>16</v>
      </c>
      <c r="Q17" s="1" t="n">
        <f aca="false">COUNTIF(E17:O17,"P")</f>
        <v>7</v>
      </c>
      <c r="R17" s="1" t="n">
        <f aca="false">COUNTIF(E17:O17,"M")</f>
        <v>0</v>
      </c>
      <c r="S17" s="1" t="n">
        <f aca="false">COUNTIF(E17:O17,"T")</f>
        <v>0</v>
      </c>
      <c r="T17" s="1" t="n">
        <f aca="false">ROUND(Q17+R17/2+S17/4,0)</f>
        <v>7</v>
      </c>
      <c r="V17" s="5" t="n">
        <f aca="false">ROUND(T17*10/$W$1,0)</f>
        <v>10</v>
      </c>
      <c r="W17" s="1" t="s">
        <v>16</v>
      </c>
      <c r="X17" s="1" t="s">
        <v>16</v>
      </c>
      <c r="Z17" s="1" t="s">
        <v>16</v>
      </c>
      <c r="AB17" s="1" t="s">
        <v>16</v>
      </c>
      <c r="AD17" s="1" t="s">
        <v>18</v>
      </c>
      <c r="AF17" s="1" t="s">
        <v>16</v>
      </c>
      <c r="AH17" s="2" t="s">
        <v>16</v>
      </c>
      <c r="AJ17" s="2" t="s">
        <v>18</v>
      </c>
      <c r="AK17" s="2" t="s">
        <v>18</v>
      </c>
      <c r="AM17" s="2" t="n">
        <f aca="false">COUNTIF(W17:AL17,"p")</f>
        <v>6</v>
      </c>
      <c r="AN17" s="2" t="n">
        <f aca="false">COUNTIF(W17:AL17,"M")</f>
        <v>0</v>
      </c>
      <c r="AO17" s="2" t="n">
        <f aca="false">COUNTIF(W17:AL17,"T")</f>
        <v>0</v>
      </c>
      <c r="AP17" s="6" t="n">
        <f aca="false">ROUND((AM17+AN17/2+AO17/4)*10/9,0)</f>
        <v>7</v>
      </c>
    </row>
    <row r="18" s="2" customFormat="true" ht="15" hidden="false" customHeight="false" outlineLevel="0" collapsed="false">
      <c r="A18" s="1" t="n">
        <v>16</v>
      </c>
      <c r="B18" s="2" t="s">
        <v>66</v>
      </c>
      <c r="C18" s="2" t="s">
        <v>67</v>
      </c>
      <c r="D18" s="2" t="s">
        <v>68</v>
      </c>
      <c r="E18" s="1" t="s">
        <v>16</v>
      </c>
      <c r="F18" s="1"/>
      <c r="G18" s="1" t="s">
        <v>16</v>
      </c>
      <c r="H18" s="1" t="s">
        <v>16</v>
      </c>
      <c r="I18" s="1"/>
      <c r="J18" s="1" t="s">
        <v>28</v>
      </c>
      <c r="K18" s="4" t="n">
        <v>0.541666666666667</v>
      </c>
      <c r="L18" s="1" t="s">
        <v>18</v>
      </c>
      <c r="M18" s="1" t="s">
        <v>16</v>
      </c>
      <c r="N18" s="1"/>
      <c r="O18" s="1" t="s">
        <v>16</v>
      </c>
      <c r="P18" s="1"/>
      <c r="Q18" s="1" t="n">
        <f aca="false">COUNTIF(E18:O18,"P")</f>
        <v>5</v>
      </c>
      <c r="R18" s="1" t="n">
        <f aca="false">COUNTIF(E18:O18,"M")</f>
        <v>0</v>
      </c>
      <c r="S18" s="1" t="n">
        <f aca="false">COUNTIF(E18:O18,"T")</f>
        <v>1</v>
      </c>
      <c r="T18" s="1" t="n">
        <f aca="false">ROUND(Q18+R18/2+S18/4,0)</f>
        <v>5</v>
      </c>
      <c r="U18" s="1"/>
      <c r="V18" s="5" t="n">
        <f aca="false">ROUND(T18*10/$W$1,0)</f>
        <v>7</v>
      </c>
      <c r="W18" s="1" t="s">
        <v>16</v>
      </c>
      <c r="X18" s="1" t="s">
        <v>18</v>
      </c>
      <c r="Y18" s="1"/>
      <c r="Z18" s="1" t="s">
        <v>18</v>
      </c>
      <c r="AA18" s="1"/>
      <c r="AB18" s="1" t="s">
        <v>18</v>
      </c>
      <c r="AC18" s="1"/>
      <c r="AD18" s="1" t="s">
        <v>28</v>
      </c>
      <c r="AE18" s="4" t="n">
        <v>0.520833333333333</v>
      </c>
      <c r="AF18" s="1" t="s">
        <v>28</v>
      </c>
      <c r="AG18" s="4" t="n">
        <v>0.545138888888889</v>
      </c>
      <c r="AH18" s="2" t="s">
        <v>18</v>
      </c>
      <c r="AI18" s="1"/>
      <c r="AJ18" s="2" t="s">
        <v>18</v>
      </c>
      <c r="AK18" s="2" t="s">
        <v>18</v>
      </c>
      <c r="AL18" s="1"/>
      <c r="AM18" s="2" t="n">
        <f aca="false">COUNTIF(W18:AL18,"p")</f>
        <v>1</v>
      </c>
      <c r="AN18" s="2" t="n">
        <f aca="false">COUNTIF(W18:AL18,"M")</f>
        <v>0</v>
      </c>
      <c r="AO18" s="2" t="n">
        <f aca="false">COUNTIF(W18:AL18,"T")</f>
        <v>2</v>
      </c>
      <c r="AP18" s="6" t="n">
        <f aca="false">ROUND((AM18+AN18/2+AO18/4)*10/9,0)</f>
        <v>2</v>
      </c>
      <c r="AQ18" s="2" t="s">
        <v>28</v>
      </c>
      <c r="AR18" s="4" t="n">
        <v>0.583333333333333</v>
      </c>
      <c r="AS18" s="2" t="s">
        <v>28</v>
      </c>
      <c r="AT18" s="13" t="n">
        <v>0.555555555555556</v>
      </c>
      <c r="AU18" s="2" t="n">
        <f aca="false">COUNTIF(AQ18:AS18,"P")</f>
        <v>0</v>
      </c>
      <c r="AV18" s="2" t="n">
        <f aca="false">COUNTIF(AQ18:AS18,"T")</f>
        <v>2</v>
      </c>
      <c r="AW18" s="12" t="n">
        <f aca="false">(AU18+AV18/4)*5</f>
        <v>2.5</v>
      </c>
    </row>
    <row r="19" s="2" customFormat="true" ht="15" hidden="false" customHeight="false" outlineLevel="0" collapsed="false">
      <c r="A19" s="1" t="n">
        <v>17</v>
      </c>
      <c r="B19" s="2" t="s">
        <v>69</v>
      </c>
      <c r="C19" s="2" t="s">
        <v>70</v>
      </c>
      <c r="D19" s="2" t="s">
        <v>71</v>
      </c>
      <c r="E19" s="1" t="s">
        <v>16</v>
      </c>
      <c r="F19" s="1"/>
      <c r="G19" s="1" t="s">
        <v>16</v>
      </c>
      <c r="H19" s="1" t="s">
        <v>16</v>
      </c>
      <c r="I19" s="1"/>
      <c r="J19" s="1" t="s">
        <v>16</v>
      </c>
      <c r="K19" s="1"/>
      <c r="L19" s="1" t="s">
        <v>18</v>
      </c>
      <c r="M19" s="1" t="s">
        <v>16</v>
      </c>
      <c r="N19" s="1"/>
      <c r="O19" s="1" t="s">
        <v>16</v>
      </c>
      <c r="P19" s="1"/>
      <c r="Q19" s="1" t="n">
        <f aca="false">COUNTIF(E19:O19,"P")</f>
        <v>6</v>
      </c>
      <c r="R19" s="1" t="n">
        <f aca="false">COUNTIF(E19:O19,"M")</f>
        <v>0</v>
      </c>
      <c r="S19" s="1" t="n">
        <f aca="false">COUNTIF(E19:O19,"T")</f>
        <v>0</v>
      </c>
      <c r="T19" s="1" t="n">
        <f aca="false">ROUND(Q19+R19/2+S19/4,0)</f>
        <v>6</v>
      </c>
      <c r="U19" s="1"/>
      <c r="V19" s="5" t="n">
        <f aca="false">ROUND(T19*10/$W$1,0)</f>
        <v>9</v>
      </c>
      <c r="W19" s="1" t="s">
        <v>16</v>
      </c>
      <c r="X19" s="1" t="s">
        <v>16</v>
      </c>
      <c r="Y19" s="1"/>
      <c r="Z19" s="1" t="s">
        <v>16</v>
      </c>
      <c r="AA19" s="1"/>
      <c r="AB19" s="1" t="s">
        <v>18</v>
      </c>
      <c r="AC19" s="1"/>
      <c r="AD19" s="1" t="s">
        <v>16</v>
      </c>
      <c r="AE19" s="1"/>
      <c r="AF19" s="1" t="s">
        <v>18</v>
      </c>
      <c r="AG19" s="1"/>
      <c r="AH19" s="2" t="s">
        <v>16</v>
      </c>
      <c r="AI19" s="1"/>
      <c r="AJ19" s="2" t="s">
        <v>18</v>
      </c>
      <c r="AK19" s="2" t="s">
        <v>16</v>
      </c>
      <c r="AL19" s="1"/>
      <c r="AM19" s="2" t="n">
        <f aca="false">COUNTIF(W19:AL19,"p")</f>
        <v>6</v>
      </c>
      <c r="AN19" s="2" t="n">
        <f aca="false">COUNTIF(W19:AL19,"M")</f>
        <v>0</v>
      </c>
      <c r="AO19" s="2" t="n">
        <f aca="false">COUNTIF(W19:AL19,"T")</f>
        <v>0</v>
      </c>
      <c r="AP19" s="6" t="n">
        <f aca="false">ROUND((AM19+AN19/2+AO19/4)*10/9,0)</f>
        <v>7</v>
      </c>
      <c r="AQ19" s="2" t="s">
        <v>16</v>
      </c>
      <c r="AS19" s="2" t="s">
        <v>16</v>
      </c>
      <c r="AU19" s="2" t="n">
        <f aca="false">COUNTIF(AQ19:AS19,"P")</f>
        <v>2</v>
      </c>
      <c r="AV19" s="2" t="n">
        <f aca="false">COUNTIF(AQ19:AS19,"T")</f>
        <v>0</v>
      </c>
      <c r="AW19" s="12" t="n">
        <f aca="false">(AU19+AV19/4)*5</f>
        <v>10</v>
      </c>
    </row>
    <row r="20" s="2" customFormat="true" ht="15" hidden="false" customHeight="false" outlineLevel="0" collapsed="false">
      <c r="A20" s="1" t="n">
        <v>18</v>
      </c>
      <c r="B20" s="2" t="s">
        <v>72</v>
      </c>
      <c r="C20" s="2" t="s">
        <v>73</v>
      </c>
      <c r="D20" s="2" t="s">
        <v>74</v>
      </c>
      <c r="E20" s="1" t="s">
        <v>18</v>
      </c>
      <c r="F20" s="1"/>
      <c r="G20" s="1" t="s">
        <v>16</v>
      </c>
      <c r="H20" s="1" t="s">
        <v>28</v>
      </c>
      <c r="I20" s="4" t="n">
        <v>0.527777777777778</v>
      </c>
      <c r="J20" s="1" t="s">
        <v>16</v>
      </c>
      <c r="K20" s="1"/>
      <c r="L20" s="1" t="s">
        <v>16</v>
      </c>
      <c r="M20" s="1" t="s">
        <v>18</v>
      </c>
      <c r="N20" s="1"/>
      <c r="O20" s="1" t="s">
        <v>16</v>
      </c>
      <c r="P20" s="1"/>
      <c r="Q20" s="1" t="n">
        <f aca="false">COUNTIF(E20:O20,"P")</f>
        <v>4</v>
      </c>
      <c r="R20" s="1" t="n">
        <f aca="false">COUNTIF(E20:O20,"M")</f>
        <v>0</v>
      </c>
      <c r="S20" s="1" t="n">
        <f aca="false">COUNTIF(E20:O20,"T")</f>
        <v>1</v>
      </c>
      <c r="T20" s="1" t="n">
        <f aca="false">ROUND(Q20+R20/2+S20/4,0)</f>
        <v>4</v>
      </c>
      <c r="U20" s="1"/>
      <c r="V20" s="5" t="n">
        <f aca="false">ROUND(T20*10/$W$1,0)</f>
        <v>6</v>
      </c>
      <c r="W20" s="1" t="s">
        <v>16</v>
      </c>
      <c r="X20" s="1" t="s">
        <v>28</v>
      </c>
      <c r="Y20" s="1"/>
      <c r="Z20" s="1" t="s">
        <v>16</v>
      </c>
      <c r="AA20" s="1"/>
      <c r="AB20" s="1" t="s">
        <v>18</v>
      </c>
      <c r="AC20" s="1"/>
      <c r="AD20" s="1" t="s">
        <v>16</v>
      </c>
      <c r="AE20" s="1"/>
      <c r="AF20" s="1" t="s">
        <v>16</v>
      </c>
      <c r="AG20" s="1"/>
      <c r="AH20" s="2" t="s">
        <v>16</v>
      </c>
      <c r="AI20" s="1"/>
      <c r="AJ20" s="2" t="s">
        <v>16</v>
      </c>
      <c r="AK20" s="2" t="s">
        <v>18</v>
      </c>
      <c r="AL20" s="1"/>
      <c r="AM20" s="2" t="n">
        <f aca="false">COUNTIF(W20:AL20,"p")</f>
        <v>6</v>
      </c>
      <c r="AN20" s="2" t="n">
        <f aca="false">COUNTIF(W20:AL20,"M")</f>
        <v>0</v>
      </c>
      <c r="AO20" s="2" t="n">
        <f aca="false">COUNTIF(W20:AL20,"T")</f>
        <v>1</v>
      </c>
      <c r="AP20" s="6" t="n">
        <f aca="false">ROUND((AM20+AN20/2+AO20/4)*10/9,0)</f>
        <v>7</v>
      </c>
      <c r="AQ20" s="2" t="s">
        <v>18</v>
      </c>
      <c r="AS20" s="2" t="s">
        <v>18</v>
      </c>
      <c r="AU20" s="2" t="n">
        <f aca="false">COUNTIF(AQ20:AS20,"P")</f>
        <v>0</v>
      </c>
      <c r="AV20" s="2" t="n">
        <f aca="false">COUNTIF(AQ20:AS20,"T")</f>
        <v>0</v>
      </c>
      <c r="AW20" s="12" t="n">
        <f aca="false">(AU20+AV20/4)*5</f>
        <v>0</v>
      </c>
      <c r="AX20" s="2" t="s">
        <v>50</v>
      </c>
    </row>
    <row r="21" s="1" customFormat="true" ht="15" hidden="true" customHeight="false" outlineLevel="0" collapsed="false">
      <c r="A21" s="1" t="n">
        <v>19</v>
      </c>
      <c r="B21" s="2" t="s">
        <v>75</v>
      </c>
      <c r="C21" s="2" t="s">
        <v>76</v>
      </c>
      <c r="D21" s="2" t="s">
        <v>77</v>
      </c>
      <c r="E21" s="1" t="s">
        <v>16</v>
      </c>
      <c r="G21" s="1" t="s">
        <v>16</v>
      </c>
      <c r="H21" s="1" t="s">
        <v>16</v>
      </c>
      <c r="J21" s="1" t="s">
        <v>16</v>
      </c>
      <c r="L21" s="1" t="s">
        <v>16</v>
      </c>
      <c r="M21" s="1" t="s">
        <v>16</v>
      </c>
      <c r="O21" s="1" t="s">
        <v>18</v>
      </c>
      <c r="Q21" s="1" t="n">
        <f aca="false">COUNTIF(E21:O21,"P")</f>
        <v>6</v>
      </c>
      <c r="R21" s="1" t="n">
        <f aca="false">COUNTIF(E21:O21,"M")</f>
        <v>0</v>
      </c>
      <c r="S21" s="1" t="n">
        <f aca="false">COUNTIF(E21:O21,"T")</f>
        <v>0</v>
      </c>
      <c r="T21" s="1" t="n">
        <f aca="false">ROUND(Q21+R21/2+S21/4,0)</f>
        <v>6</v>
      </c>
      <c r="V21" s="5" t="n">
        <f aca="false">ROUND(T21*10/$W$1,0)</f>
        <v>9</v>
      </c>
      <c r="W21" s="1" t="s">
        <v>18</v>
      </c>
      <c r="X21" s="1" t="s">
        <v>78</v>
      </c>
      <c r="Z21" s="1" t="s">
        <v>78</v>
      </c>
      <c r="AB21" s="1" t="s">
        <v>78</v>
      </c>
      <c r="AD21" s="1" t="s">
        <v>78</v>
      </c>
      <c r="AF21" s="1" t="s">
        <v>78</v>
      </c>
      <c r="AH21" s="2" t="s">
        <v>78</v>
      </c>
      <c r="AJ21" s="2" t="s">
        <v>78</v>
      </c>
      <c r="AK21" s="2" t="s">
        <v>78</v>
      </c>
      <c r="AM21" s="2" t="n">
        <f aca="false">COUNTIF(W21:AL21,"p")</f>
        <v>0</v>
      </c>
      <c r="AN21" s="2" t="n">
        <f aca="false">COUNTIF(W21:AL21,"M")</f>
        <v>0</v>
      </c>
      <c r="AO21" s="2" t="n">
        <f aca="false">COUNTIF(W21:AL21,"T")</f>
        <v>0</v>
      </c>
      <c r="AP21" s="6" t="n">
        <f aca="false">ROUND((AM21+AN21/2+AO21/4)*10/9,0)</f>
        <v>0</v>
      </c>
    </row>
    <row r="22" s="1" customFormat="true" ht="15" hidden="true" customHeight="false" outlineLevel="0" collapsed="false">
      <c r="A22" s="1" t="n">
        <v>20</v>
      </c>
      <c r="B22" s="2" t="s">
        <v>79</v>
      </c>
      <c r="C22" s="2" t="s">
        <v>80</v>
      </c>
      <c r="D22" s="2" t="s">
        <v>81</v>
      </c>
      <c r="E22" s="1" t="s">
        <v>16</v>
      </c>
      <c r="G22" s="1" t="s">
        <v>16</v>
      </c>
      <c r="H22" s="1" t="s">
        <v>16</v>
      </c>
      <c r="J22" s="1" t="s">
        <v>16</v>
      </c>
      <c r="L22" s="1" t="s">
        <v>16</v>
      </c>
      <c r="M22" s="1" t="s">
        <v>16</v>
      </c>
      <c r="O22" s="1" t="s">
        <v>16</v>
      </c>
      <c r="Q22" s="1" t="n">
        <f aca="false">COUNTIF(E22:O22,"P")</f>
        <v>7</v>
      </c>
      <c r="R22" s="1" t="n">
        <f aca="false">COUNTIF(E22:O22,"M")</f>
        <v>0</v>
      </c>
      <c r="S22" s="1" t="n">
        <f aca="false">COUNTIF(E22:O22,"T")</f>
        <v>0</v>
      </c>
      <c r="T22" s="1" t="n">
        <f aca="false">ROUND(Q22+R22/2+S22/4,0)</f>
        <v>7</v>
      </c>
      <c r="V22" s="5" t="n">
        <f aca="false">ROUND(T22*10/$W$1,0)</f>
        <v>10</v>
      </c>
      <c r="W22" s="1" t="s">
        <v>18</v>
      </c>
      <c r="X22" s="1" t="s">
        <v>16</v>
      </c>
      <c r="Z22" s="1" t="s">
        <v>16</v>
      </c>
      <c r="AB22" s="1" t="s">
        <v>18</v>
      </c>
      <c r="AD22" s="1" t="s">
        <v>16</v>
      </c>
      <c r="AF22" s="1" t="s">
        <v>18</v>
      </c>
      <c r="AH22" s="2" t="s">
        <v>16</v>
      </c>
      <c r="AJ22" s="2" t="s">
        <v>16</v>
      </c>
      <c r="AK22" s="2" t="s">
        <v>16</v>
      </c>
      <c r="AM22" s="2" t="n">
        <f aca="false">COUNTIF(W22:AL22,"p")</f>
        <v>6</v>
      </c>
      <c r="AN22" s="2" t="n">
        <f aca="false">COUNTIF(W22:AL22,"M")</f>
        <v>0</v>
      </c>
      <c r="AO22" s="2" t="n">
        <f aca="false">COUNTIF(W22:AL22,"T")</f>
        <v>0</v>
      </c>
      <c r="AP22" s="6" t="n">
        <f aca="false">ROUND((AM22+AN22/2+AO22/4)*10/9,0)</f>
        <v>7</v>
      </c>
    </row>
    <row r="23" s="1" customFormat="true" ht="15" hidden="true" customHeight="false" outlineLevel="0" collapsed="false">
      <c r="A23" s="1" t="n">
        <v>21</v>
      </c>
      <c r="B23" s="2" t="s">
        <v>82</v>
      </c>
      <c r="C23" s="2" t="s">
        <v>83</v>
      </c>
      <c r="D23" s="2" t="s">
        <v>84</v>
      </c>
      <c r="E23" s="1" t="s">
        <v>16</v>
      </c>
      <c r="G23" s="1" t="s">
        <v>18</v>
      </c>
      <c r="H23" s="1" t="s">
        <v>16</v>
      </c>
      <c r="I23" s="1" t="s">
        <v>42</v>
      </c>
      <c r="J23" s="1" t="s">
        <v>16</v>
      </c>
      <c r="L23" s="1" t="s">
        <v>18</v>
      </c>
      <c r="M23" s="1" t="s">
        <v>17</v>
      </c>
      <c r="N23" s="4" t="n">
        <v>0.520833333333333</v>
      </c>
      <c r="O23" s="1" t="s">
        <v>17</v>
      </c>
      <c r="P23" s="4" t="n">
        <v>0.520833333333333</v>
      </c>
      <c r="Q23" s="1" t="n">
        <f aca="false">COUNTIF(E23:O23,"P")</f>
        <v>3</v>
      </c>
      <c r="R23" s="1" t="n">
        <f aca="false">COUNTIF(E23:O23,"M")</f>
        <v>2</v>
      </c>
      <c r="S23" s="1" t="n">
        <f aca="false">COUNTIF(E23:O23,"T")</f>
        <v>0</v>
      </c>
      <c r="T23" s="1" t="n">
        <f aca="false">ROUND(Q23+R23/2+S23/4,0)</f>
        <v>4</v>
      </c>
      <c r="V23" s="5" t="n">
        <f aca="false">ROUND(T23*10/$W$1,0)</f>
        <v>6</v>
      </c>
      <c r="W23" s="1" t="s">
        <v>18</v>
      </c>
      <c r="X23" s="1" t="s">
        <v>16</v>
      </c>
      <c r="Z23" s="1" t="s">
        <v>17</v>
      </c>
      <c r="AA23" s="4" t="n">
        <v>0.517361111111111</v>
      </c>
      <c r="AB23" s="1" t="s">
        <v>18</v>
      </c>
      <c r="AD23" s="1" t="s">
        <v>16</v>
      </c>
      <c r="AF23" s="1" t="s">
        <v>16</v>
      </c>
      <c r="AH23" s="2" t="s">
        <v>18</v>
      </c>
      <c r="AJ23" s="2" t="s">
        <v>16</v>
      </c>
      <c r="AK23" s="2" t="s">
        <v>28</v>
      </c>
      <c r="AL23" s="4" t="n">
        <v>0.53125</v>
      </c>
      <c r="AM23" s="2" t="n">
        <f aca="false">COUNTIF(W23:AL23,"p")</f>
        <v>4</v>
      </c>
      <c r="AN23" s="2" t="n">
        <f aca="false">COUNTIF(W23:AL23,"M")</f>
        <v>1</v>
      </c>
      <c r="AO23" s="2" t="n">
        <f aca="false">COUNTIF(W23:AL23,"T")</f>
        <v>1</v>
      </c>
      <c r="AP23" s="6" t="n">
        <f aca="false">ROUND((AM23+AN23/2+AO23/4)*10/9,0)</f>
        <v>5</v>
      </c>
    </row>
    <row r="24" s="2" customFormat="true" ht="15" hidden="false" customHeight="false" outlineLevel="0" collapsed="false">
      <c r="A24" s="1" t="n">
        <v>22</v>
      </c>
      <c r="B24" s="2" t="s">
        <v>85</v>
      </c>
      <c r="C24" s="2" t="s">
        <v>86</v>
      </c>
      <c r="D24" s="2" t="s">
        <v>87</v>
      </c>
      <c r="E24" s="1" t="s">
        <v>16</v>
      </c>
      <c r="F24" s="1"/>
      <c r="G24" s="1" t="s">
        <v>16</v>
      </c>
      <c r="H24" s="1" t="s">
        <v>16</v>
      </c>
      <c r="I24" s="1"/>
      <c r="J24" s="1" t="s">
        <v>16</v>
      </c>
      <c r="K24" s="1"/>
      <c r="L24" s="1" t="s">
        <v>16</v>
      </c>
      <c r="M24" s="1" t="s">
        <v>16</v>
      </c>
      <c r="N24" s="1"/>
      <c r="O24" s="1" t="s">
        <v>16</v>
      </c>
      <c r="P24" s="1"/>
      <c r="Q24" s="1" t="n">
        <f aca="false">COUNTIF(E24:O24,"P")</f>
        <v>7</v>
      </c>
      <c r="R24" s="1" t="n">
        <f aca="false">COUNTIF(E24:O24,"M")</f>
        <v>0</v>
      </c>
      <c r="S24" s="1" t="n">
        <f aca="false">COUNTIF(E24:O24,"T")</f>
        <v>0</v>
      </c>
      <c r="T24" s="1" t="n">
        <f aca="false">ROUND(Q24+R24/2+S24/4,0)</f>
        <v>7</v>
      </c>
      <c r="U24" s="1"/>
      <c r="V24" s="5" t="n">
        <f aca="false">ROUND(T24*10/$W$1,0)</f>
        <v>10</v>
      </c>
      <c r="W24" s="1" t="s">
        <v>16</v>
      </c>
      <c r="X24" s="1" t="s">
        <v>16</v>
      </c>
      <c r="Y24" s="1"/>
      <c r="Z24" s="1" t="s">
        <v>18</v>
      </c>
      <c r="AA24" s="1"/>
      <c r="AB24" s="1" t="s">
        <v>28</v>
      </c>
      <c r="AC24" s="4" t="n">
        <v>0.538194444444444</v>
      </c>
      <c r="AD24" s="1" t="s">
        <v>16</v>
      </c>
      <c r="AE24" s="1"/>
      <c r="AF24" s="1" t="s">
        <v>16</v>
      </c>
      <c r="AG24" s="1"/>
      <c r="AH24" s="2" t="s">
        <v>16</v>
      </c>
      <c r="AI24" s="1"/>
      <c r="AJ24" s="2" t="s">
        <v>18</v>
      </c>
      <c r="AK24" s="2" t="s">
        <v>16</v>
      </c>
      <c r="AL24" s="1"/>
      <c r="AM24" s="2" t="n">
        <f aca="false">COUNTIF(W24:AL24,"p")</f>
        <v>6</v>
      </c>
      <c r="AN24" s="2" t="n">
        <f aca="false">COUNTIF(W24:AL24,"M")</f>
        <v>0</v>
      </c>
      <c r="AO24" s="2" t="n">
        <f aca="false">COUNTIF(W24:AL24,"T")</f>
        <v>1</v>
      </c>
      <c r="AP24" s="6" t="n">
        <f aca="false">ROUND((AM24+AN24/2+AO24/4)*10/9,0)</f>
        <v>7</v>
      </c>
      <c r="AQ24" s="2" t="s">
        <v>16</v>
      </c>
      <c r="AS24" s="2" t="s">
        <v>16</v>
      </c>
      <c r="AU24" s="2" t="n">
        <f aca="false">COUNTIF(AQ24:AS24,"P")</f>
        <v>2</v>
      </c>
      <c r="AV24" s="2" t="n">
        <f aca="false">COUNTIF(AQ24:AS24,"T")</f>
        <v>0</v>
      </c>
      <c r="AW24" s="12" t="n">
        <f aca="false">(AU24+AV24/4)*5</f>
        <v>10</v>
      </c>
    </row>
    <row r="25" customFormat="false" ht="15" hidden="false" customHeight="false" outlineLevel="0" collapsed="false">
      <c r="C25" s="1" t="s">
        <v>7</v>
      </c>
      <c r="D25" s="1" t="s">
        <v>7</v>
      </c>
      <c r="E25" s="1" t="n">
        <f aca="false">COUNTIF(E3:E24,"P")</f>
        <v>20</v>
      </c>
      <c r="G25" s="1" t="n">
        <f aca="false">COUNTIF(G3:G24,"P")</f>
        <v>20</v>
      </c>
      <c r="H25" s="1" t="n">
        <f aca="false">COUNTIF(H3:H24,"P")</f>
        <v>17</v>
      </c>
      <c r="J25" s="1" t="n">
        <f aca="false">COUNTIF(J3:J24,"P")</f>
        <v>21</v>
      </c>
      <c r="L25" s="1" t="n">
        <f aca="false">COUNTIF(L3:L24,"P")</f>
        <v>16</v>
      </c>
      <c r="M25" s="1" t="n">
        <f aca="false">COUNTIF(M3:M24,"P")</f>
        <v>17</v>
      </c>
      <c r="O25" s="1" t="n">
        <f aca="false">COUNTIF(O3:O24,"P")</f>
        <v>16</v>
      </c>
      <c r="W25" s="1" t="n">
        <f aca="false">COUNTIF(W3:W24,"P")</f>
        <v>14</v>
      </c>
      <c r="X25" s="1" t="n">
        <f aca="false">COUNTIF(X3:X24,"P")</f>
        <v>17</v>
      </c>
      <c r="Z25" s="1" t="n">
        <f aca="false">COUNTIF(Z3:Z24,"P")</f>
        <v>16</v>
      </c>
      <c r="AB25" s="1" t="n">
        <f aca="false">COUNTIF(AB3:AB24,"P")</f>
        <v>9</v>
      </c>
      <c r="AD25" s="1" t="n">
        <f aca="false">COUNTIF(AD3:AD24,"P")</f>
        <v>16</v>
      </c>
      <c r="AF25" s="1" t="n">
        <f aca="false">COUNTIF(AF3:AF24,"P")</f>
        <v>13</v>
      </c>
      <c r="AH25" s="1" t="n">
        <f aca="false">COUNTIF(AH3:AH24,"P")</f>
        <v>17</v>
      </c>
      <c r="AJ25" s="1" t="n">
        <f aca="false">COUNTIF(AJ3:AJ24,"P")</f>
        <v>11</v>
      </c>
      <c r="AK25" s="1" t="n">
        <f aca="false">COUNTIF(AK3:AK24,"P")</f>
        <v>13</v>
      </c>
      <c r="AQ25" s="1" t="n">
        <f aca="false">COUNTIF(AQ8:AQ24,"P")</f>
        <v>4</v>
      </c>
      <c r="AS25" s="1" t="n">
        <f aca="false">COUNTIF(AS8:AS24,"P")</f>
        <v>3</v>
      </c>
      <c r="AT25" s="1"/>
    </row>
    <row r="26" customFormat="false" ht="15" hidden="false" customHeight="false" outlineLevel="0" collapsed="false">
      <c r="C26" s="1" t="s">
        <v>88</v>
      </c>
      <c r="X26" s="1" t="n">
        <f aca="false">COUNTIF(X3:X24,"M")</f>
        <v>0</v>
      </c>
      <c r="Z26" s="1" t="n">
        <f aca="false">COUNTIF(Z3:Z24,"M")</f>
        <v>2</v>
      </c>
      <c r="AB26" s="1" t="n">
        <f aca="false">COUNTIF(AB3:AB24,"M")</f>
        <v>0</v>
      </c>
      <c r="AD26" s="1" t="n">
        <f aca="false">COUNTIF(AD3:AD24,"M")</f>
        <v>0</v>
      </c>
      <c r="AF26" s="1" t="n">
        <f aca="false">COUNTIF(AF3:AF24,"M")</f>
        <v>0</v>
      </c>
      <c r="AH26" s="1" t="n">
        <f aca="false">COUNTIF(AH3:AH24,"M")</f>
        <v>0</v>
      </c>
      <c r="AJ26" s="1" t="n">
        <f aca="false">COUNTIF(AJ3:AJ24,"M")</f>
        <v>0</v>
      </c>
      <c r="AK26" s="1" t="n">
        <f aca="false">COUNTIF(AK3:AK24,"M")</f>
        <v>0</v>
      </c>
    </row>
    <row r="27" customFormat="false" ht="15" hidden="false" customHeight="false" outlineLevel="0" collapsed="false">
      <c r="C27" s="1" t="s">
        <v>9</v>
      </c>
      <c r="X27" s="1" t="n">
        <f aca="false">COUNTIF(X3:X24,"T")</f>
        <v>2</v>
      </c>
      <c r="Z27" s="1" t="n">
        <f aca="false">COUNTIF(Z3:Z24,"T")</f>
        <v>0</v>
      </c>
      <c r="AB27" s="1" t="n">
        <f aca="false">COUNTIF(AB3:AB24,"T")</f>
        <v>1</v>
      </c>
      <c r="AD27" s="1" t="n">
        <f aca="false">COUNTIF(AD3:AD24,"T")</f>
        <v>4</v>
      </c>
      <c r="AF27" s="1" t="n">
        <f aca="false">COUNTIF(AF3:AF24,"T")</f>
        <v>1</v>
      </c>
      <c r="AH27" s="1" t="n">
        <f aca="false">COUNTIF(AH3:AH24,"T")</f>
        <v>0</v>
      </c>
      <c r="AJ27" s="1" t="n">
        <f aca="false">COUNTIF(AJ3:AJ24,"T")</f>
        <v>0</v>
      </c>
      <c r="AK27" s="1" t="n">
        <f aca="false">COUNTIF(AK3:AK24,"T")</f>
        <v>1</v>
      </c>
    </row>
    <row r="28" customFormat="false" ht="15" hidden="false" customHeight="false" outlineLevel="0" collapsed="false">
      <c r="C28" s="1" t="s">
        <v>42</v>
      </c>
      <c r="AF28" s="1" t="n">
        <f aca="false">COUNTIF(AF3:AF24,"o")</f>
        <v>0</v>
      </c>
      <c r="AH28" s="1" t="n">
        <f aca="false">COUNTIF(AH3:AH24,"o")</f>
        <v>2</v>
      </c>
      <c r="AJ28" s="1" t="n">
        <f aca="false">COUNTIF(AJ3:AJ24,"o")</f>
        <v>0</v>
      </c>
      <c r="AK28" s="1" t="n">
        <f aca="false">COUNTIF(AK3:AK24,"o")</f>
        <v>0</v>
      </c>
    </row>
    <row r="29" customFormat="false" ht="15" hidden="false" customHeight="false" outlineLevel="0" collapsed="false">
      <c r="C29" s="1" t="s">
        <v>89</v>
      </c>
      <c r="X29" s="1" t="n">
        <f aca="false">SUM(X25:X27)</f>
        <v>19</v>
      </c>
      <c r="Z29" s="1" t="n">
        <f aca="false">SUM(Z25:Z27)</f>
        <v>18</v>
      </c>
      <c r="AB29" s="1" t="n">
        <f aca="false">SUM(AB25:AB27)</f>
        <v>10</v>
      </c>
      <c r="AD29" s="1" t="n">
        <f aca="false">SUM(AD25:AD27)</f>
        <v>20</v>
      </c>
      <c r="AF29" s="1" t="n">
        <f aca="false">SUM(AF25:AF28)</f>
        <v>14</v>
      </c>
      <c r="AH29" s="1" t="n">
        <f aca="false">SUM(AH25:AH28)</f>
        <v>19</v>
      </c>
      <c r="AJ29" s="1" t="n">
        <f aca="false">SUM(AJ25:AJ28)</f>
        <v>11</v>
      </c>
      <c r="AK29" s="1" t="n">
        <f aca="false">SUM(AK25:AK28)</f>
        <v>14</v>
      </c>
    </row>
  </sheetData>
  <conditionalFormatting sqref="AP3:AP24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AW12:AW24">
    <cfRule type="cellIs" priority="5" operator="greaterThan" aboveAverage="0" equalAverage="0" bottom="0" percent="0" rank="0" text="" dxfId="3">
      <formula>6</formula>
    </cfRule>
    <cfRule type="cellIs" priority="6" operator="lessThan" aboveAverage="0" equalAverage="0" bottom="0" percent="0" rank="0" text="" dxfId="4">
      <formula>7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M2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T25" activeCellId="0" sqref="AT25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true" hidden="true" outlineLevel="0" max="13" min="3" style="1" width="9.36"/>
    <col collapsed="false" customWidth="true" hidden="true" outlineLevel="0" max="19" min="14" style="1" width="9.5"/>
    <col collapsed="false" customWidth="false" hidden="true" outlineLevel="0" max="20" min="20" style="1" width="9.56"/>
    <col collapsed="false" customWidth="true" hidden="true" outlineLevel="0" max="21" min="21" style="1" width="19.39"/>
    <col collapsed="false" customWidth="false" hidden="true" outlineLevel="0" max="32" min="22" style="1" width="9.56"/>
    <col collapsed="false" customWidth="false" hidden="true" outlineLevel="0" max="42" min="33" style="1" width="9.6"/>
    <col collapsed="false" customWidth="true" hidden="true" outlineLevel="0" max="43" min="43" style="1" width="14.12"/>
    <col collapsed="false" customWidth="false" hidden="true" outlineLevel="0" max="44" min="44" style="0" width="9.6"/>
    <col collapsed="false" customWidth="true" hidden="false" outlineLevel="0" max="1027" min="1027" style="1" width="9.33"/>
  </cols>
  <sheetData>
    <row r="1" customFormat="false" ht="15" hidden="false" customHeight="false" outlineLevel="0" collapsed="false">
      <c r="B1" s="2"/>
      <c r="T1" s="1" t="s">
        <v>90</v>
      </c>
      <c r="V1" s="3"/>
      <c r="AI1" s="2"/>
      <c r="AJ1" s="2"/>
      <c r="AK1" s="2"/>
      <c r="AL1" s="2"/>
      <c r="AM1" s="2"/>
      <c r="AN1" s="2" t="s">
        <v>91</v>
      </c>
      <c r="AO1" s="2"/>
      <c r="AP1" s="2" t="s">
        <v>10</v>
      </c>
      <c r="AQ1" s="2" t="s">
        <v>92</v>
      </c>
      <c r="AR1" s="2" t="s">
        <v>93</v>
      </c>
      <c r="AS1" s="0" t="s">
        <v>94</v>
      </c>
    </row>
    <row r="2" customFormat="false" ht="15" hidden="false" customHeight="false" outlineLevel="0" collapsed="false">
      <c r="A2" s="1" t="s">
        <v>2</v>
      </c>
      <c r="B2" s="2" t="s">
        <v>4</v>
      </c>
      <c r="C2" s="1" t="s">
        <v>95</v>
      </c>
      <c r="D2" s="1" t="s">
        <v>96</v>
      </c>
      <c r="E2" s="1" t="s">
        <v>97</v>
      </c>
      <c r="F2" s="1" t="s">
        <v>96</v>
      </c>
      <c r="G2" s="1" t="s">
        <v>98</v>
      </c>
      <c r="H2" s="1" t="s">
        <v>96</v>
      </c>
      <c r="I2" s="1" t="s">
        <v>99</v>
      </c>
      <c r="J2" s="1" t="s">
        <v>96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96</v>
      </c>
      <c r="Q2" s="1" t="s">
        <v>105</v>
      </c>
      <c r="S2" s="1" t="s">
        <v>106</v>
      </c>
      <c r="T2" s="1" t="s">
        <v>102</v>
      </c>
      <c r="U2" s="1" t="s">
        <v>6</v>
      </c>
      <c r="V2" s="3" t="n">
        <v>45877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1" t="s">
        <v>113</v>
      </c>
      <c r="AD2" s="1" t="s">
        <v>6</v>
      </c>
      <c r="AE2" s="1" t="s">
        <v>114</v>
      </c>
      <c r="AF2" s="1" t="s">
        <v>115</v>
      </c>
      <c r="AG2" s="1" t="s">
        <v>116</v>
      </c>
      <c r="AH2" s="1" t="s">
        <v>6</v>
      </c>
      <c r="AI2" s="2" t="s">
        <v>107</v>
      </c>
      <c r="AJ2" s="2" t="s">
        <v>108</v>
      </c>
      <c r="AK2" s="2" t="s">
        <v>117</v>
      </c>
      <c r="AL2" s="2" t="s">
        <v>118</v>
      </c>
      <c r="AM2" s="2" t="s">
        <v>119</v>
      </c>
      <c r="AN2" s="2" t="s">
        <v>10</v>
      </c>
      <c r="AO2" s="2" t="s">
        <v>120</v>
      </c>
      <c r="AP2" s="2"/>
      <c r="AQ2" s="2"/>
      <c r="AR2" s="2"/>
      <c r="AS2" s="14" t="n">
        <v>46080</v>
      </c>
      <c r="AT2" s="0" t="s">
        <v>6</v>
      </c>
    </row>
    <row r="3" customFormat="false" ht="15.65" hidden="true" customHeight="false" outlineLevel="0" collapsed="false">
      <c r="A3" s="1" t="n">
        <v>1</v>
      </c>
      <c r="B3" s="2" t="s">
        <v>14</v>
      </c>
      <c r="C3" s="1" t="n">
        <v>10</v>
      </c>
      <c r="E3" s="1" t="n">
        <v>10</v>
      </c>
      <c r="G3" s="1" t="n">
        <v>7</v>
      </c>
      <c r="I3" s="7" t="n">
        <v>7</v>
      </c>
      <c r="J3" s="3" t="n">
        <v>45783</v>
      </c>
      <c r="K3" s="1" t="n">
        <v>3</v>
      </c>
      <c r="L3" s="1" t="n">
        <f aca="false">I3+K3/2</f>
        <v>8.5</v>
      </c>
      <c r="M3" s="1" t="n">
        <f aca="false">ROUND(AVERAGE(C3,E3,G3,L3),0)</f>
        <v>9</v>
      </c>
      <c r="N3" s="6" t="str">
        <f aca="false">IF(M3&lt;7,"TEP","TEA")</f>
        <v>TEA</v>
      </c>
      <c r="O3" s="15" t="n">
        <v>5</v>
      </c>
      <c r="P3" s="16" t="n">
        <v>45783</v>
      </c>
      <c r="Q3" s="1" t="n">
        <v>8.5</v>
      </c>
      <c r="S3" s="1" t="n">
        <v>10</v>
      </c>
      <c r="T3" s="1" t="n">
        <f aca="false">ROUND(AVERAGE(S3,Q3,O3,M3),0)</f>
        <v>8</v>
      </c>
      <c r="W3" s="1" t="n">
        <v>6</v>
      </c>
      <c r="AC3" s="1" t="n">
        <v>1</v>
      </c>
      <c r="AG3" s="1" t="n">
        <v>7</v>
      </c>
      <c r="AI3" s="1" t="n">
        <v>7</v>
      </c>
      <c r="AJ3" s="1" t="n">
        <v>8</v>
      </c>
      <c r="AK3" s="1" t="n">
        <v>7</v>
      </c>
      <c r="AL3" s="1" t="n">
        <v>1</v>
      </c>
      <c r="AM3" s="2" t="n">
        <f aca="false">AK3+AL3/2</f>
        <v>7.5</v>
      </c>
      <c r="AN3" s="6" t="n">
        <f aca="false">ROUND(AVERAGE(AG3,AI3,AJ3,AM3),0)</f>
        <v>7</v>
      </c>
      <c r="AO3" s="6" t="n">
        <f aca="false">ROUND(AVERAGE(T3,AN3),0)</f>
        <v>8</v>
      </c>
    </row>
    <row r="4" customFormat="false" ht="15.65" hidden="true" customHeight="false" outlineLevel="0" collapsed="false">
      <c r="A4" s="1" t="n">
        <v>2</v>
      </c>
      <c r="B4" s="2" t="s">
        <v>20</v>
      </c>
      <c r="C4" s="1" t="n">
        <v>10</v>
      </c>
      <c r="E4" s="1" t="n">
        <v>10</v>
      </c>
      <c r="G4" s="1" t="n">
        <v>10</v>
      </c>
      <c r="I4" s="1" t="n">
        <v>9</v>
      </c>
      <c r="K4" s="1" t="n">
        <v>0</v>
      </c>
      <c r="L4" s="1" t="n">
        <f aca="false">I4+K4/2</f>
        <v>9</v>
      </c>
      <c r="M4" s="1" t="n">
        <f aca="false">ROUND(AVERAGE(C4,E4,G4,L4),0)</f>
        <v>10</v>
      </c>
      <c r="N4" s="6" t="str">
        <f aca="false">IF(M4&lt;7,"TEP","TEA")</f>
        <v>TEA</v>
      </c>
      <c r="O4" s="1" t="n">
        <v>8</v>
      </c>
      <c r="Q4" s="1" t="n">
        <v>7</v>
      </c>
      <c r="S4" s="1" t="n">
        <v>10</v>
      </c>
      <c r="T4" s="1" t="n">
        <f aca="false">ROUND(AVERAGE(S4,Q4,O4,M4),0)</f>
        <v>9</v>
      </c>
      <c r="W4" s="1" t="n">
        <v>5</v>
      </c>
      <c r="AC4" s="1" t="n">
        <v>1</v>
      </c>
      <c r="AG4" s="1" t="n">
        <v>9</v>
      </c>
      <c r="AI4" s="1" t="n">
        <v>7</v>
      </c>
      <c r="AJ4" s="1" t="n">
        <v>8</v>
      </c>
      <c r="AK4" s="1" t="n">
        <v>10</v>
      </c>
      <c r="AL4" s="1" t="n">
        <v>3</v>
      </c>
      <c r="AM4" s="2" t="n">
        <f aca="false">AK4+AL4/2</f>
        <v>11.5</v>
      </c>
      <c r="AN4" s="6" t="n">
        <f aca="false">ROUND(AVERAGE(AG4,AI4,AJ4,AM4),0)</f>
        <v>9</v>
      </c>
      <c r="AO4" s="6" t="n">
        <f aca="false">ROUND(AVERAGE(T4,AN4),0)</f>
        <v>9</v>
      </c>
    </row>
    <row r="5" customFormat="false" ht="15.65" hidden="true" customHeight="false" outlineLevel="0" collapsed="false">
      <c r="A5" s="1" t="n">
        <v>3</v>
      </c>
      <c r="B5" s="2" t="s">
        <v>23</v>
      </c>
      <c r="C5" s="1" t="n">
        <v>9</v>
      </c>
      <c r="E5" s="1" t="n">
        <v>8</v>
      </c>
      <c r="G5" s="1" t="n">
        <v>9</v>
      </c>
      <c r="I5" s="7" t="n">
        <v>9</v>
      </c>
      <c r="J5" s="3" t="n">
        <v>45782</v>
      </c>
      <c r="K5" s="1" t="n">
        <v>3</v>
      </c>
      <c r="L5" s="1" t="n">
        <f aca="false">I5+K5/2</f>
        <v>10.5</v>
      </c>
      <c r="M5" s="1" t="n">
        <f aca="false">ROUND(AVERAGE(C5,E5,G5,L5),0)</f>
        <v>9</v>
      </c>
      <c r="N5" s="6" t="str">
        <f aca="false">IF(M5&lt;7,"TEP","TEA")</f>
        <v>TEA</v>
      </c>
      <c r="O5" s="15" t="n">
        <v>9</v>
      </c>
      <c r="P5" s="16" t="n">
        <v>45782</v>
      </c>
      <c r="Q5" s="1" t="n">
        <v>9</v>
      </c>
      <c r="S5" s="1" t="n">
        <v>10</v>
      </c>
      <c r="T5" s="1" t="n">
        <f aca="false">ROUND(AVERAGE(S5,Q5,O5,M5),0)</f>
        <v>9</v>
      </c>
      <c r="AC5" s="1" t="n">
        <v>1</v>
      </c>
      <c r="AG5" s="1" t="n">
        <v>7</v>
      </c>
      <c r="AI5" s="1" t="n">
        <v>9</v>
      </c>
      <c r="AJ5" s="1" t="n">
        <v>7</v>
      </c>
      <c r="AK5" s="1" t="n">
        <v>7</v>
      </c>
      <c r="AL5" s="1" t="n">
        <v>0</v>
      </c>
      <c r="AM5" s="2" t="n">
        <f aca="false">AK5+AL5/2</f>
        <v>7</v>
      </c>
      <c r="AN5" s="6" t="n">
        <f aca="false">ROUND(AVERAGE(AG5,AI5,AJ5,AM5),0)</f>
        <v>8</v>
      </c>
      <c r="AO5" s="6" t="n">
        <f aca="false">ROUND(AVERAGE(T5,AN5),0)</f>
        <v>9</v>
      </c>
    </row>
    <row r="6" customFormat="false" ht="15.65" hidden="true" customHeight="false" outlineLevel="0" collapsed="false">
      <c r="A6" s="1" t="n">
        <v>4</v>
      </c>
      <c r="B6" s="2" t="s">
        <v>26</v>
      </c>
      <c r="C6" s="1" t="n">
        <v>10</v>
      </c>
      <c r="E6" s="1" t="n">
        <v>10</v>
      </c>
      <c r="G6" s="1" t="n">
        <v>10</v>
      </c>
      <c r="I6" s="1" t="n">
        <v>9</v>
      </c>
      <c r="K6" s="1" t="n">
        <v>4</v>
      </c>
      <c r="L6" s="1" t="n">
        <f aca="false">I6+K6/2</f>
        <v>11</v>
      </c>
      <c r="M6" s="1" t="n">
        <f aca="false">ROUND(AVERAGE(C6,E6,G6,L6),0)</f>
        <v>10</v>
      </c>
      <c r="N6" s="6" t="str">
        <f aca="false">IF(M6&lt;7,"TEP","TEA")</f>
        <v>TEA</v>
      </c>
      <c r="O6" s="1" t="n">
        <v>8</v>
      </c>
      <c r="Q6" s="1" t="n">
        <v>9</v>
      </c>
      <c r="S6" s="1" t="n">
        <v>4</v>
      </c>
      <c r="T6" s="1" t="n">
        <f aca="false">ROUND(AVERAGE(S6,Q6,O6,M6),0)</f>
        <v>8</v>
      </c>
      <c r="AC6" s="1" t="n">
        <v>6</v>
      </c>
      <c r="AG6" s="1" t="n">
        <v>10</v>
      </c>
      <c r="AI6" s="1" t="n">
        <v>8</v>
      </c>
      <c r="AJ6" s="1" t="n">
        <v>8</v>
      </c>
      <c r="AK6" s="1" t="n">
        <v>8</v>
      </c>
      <c r="AL6" s="1" t="n">
        <v>1</v>
      </c>
      <c r="AM6" s="2" t="n">
        <f aca="false">AK6+AL6/2</f>
        <v>8.5</v>
      </c>
      <c r="AN6" s="6" t="n">
        <f aca="false">ROUND(AVERAGE(AG6,AI6,AJ6,AM6),0)</f>
        <v>9</v>
      </c>
      <c r="AO6" s="6" t="n">
        <f aca="false">ROUND(AVERAGE(T6,AN6),0)</f>
        <v>9</v>
      </c>
    </row>
    <row r="7" customFormat="false" ht="15.65" hidden="true" customHeight="false" outlineLevel="0" collapsed="false">
      <c r="A7" s="1" t="n">
        <v>5</v>
      </c>
      <c r="B7" s="2" t="s">
        <v>30</v>
      </c>
      <c r="C7" s="7" t="n">
        <v>9</v>
      </c>
      <c r="D7" s="3" t="n">
        <v>45764</v>
      </c>
      <c r="E7" s="7" t="n">
        <v>9</v>
      </c>
      <c r="F7" s="7"/>
      <c r="G7" s="15" t="n">
        <v>5</v>
      </c>
      <c r="H7" s="16" t="n">
        <v>45875</v>
      </c>
      <c r="I7" s="15" t="n">
        <v>5</v>
      </c>
      <c r="J7" s="16" t="n">
        <v>45875</v>
      </c>
      <c r="K7" s="1" t="n">
        <v>0</v>
      </c>
      <c r="L7" s="1" t="n">
        <f aca="false">I7+K7/2</f>
        <v>5</v>
      </c>
      <c r="M7" s="1" t="n">
        <f aca="false">ROUND(AVERAGE(C7,E7,G7,L7),0)</f>
        <v>7</v>
      </c>
      <c r="N7" s="6" t="str">
        <f aca="false">IF(M7&lt;7,"TEP","TEA")</f>
        <v>TEA</v>
      </c>
      <c r="O7" s="15" t="n">
        <v>6</v>
      </c>
      <c r="P7" s="16" t="n">
        <v>45875</v>
      </c>
      <c r="Q7" s="1" t="n">
        <v>9</v>
      </c>
      <c r="R7" s="3" t="n">
        <v>45877</v>
      </c>
      <c r="S7" s="1" t="n">
        <v>4</v>
      </c>
      <c r="T7" s="1" t="n">
        <f aca="false">ROUND(AVERAGE(S7,Q7,O7,M7),0)</f>
        <v>7</v>
      </c>
      <c r="U7" s="1" t="s">
        <v>121</v>
      </c>
      <c r="V7" s="1" t="s">
        <v>16</v>
      </c>
      <c r="AC7" s="1" t="n">
        <v>1</v>
      </c>
      <c r="AG7" s="1" t="n">
        <v>6</v>
      </c>
      <c r="AI7" s="1" t="n">
        <v>8</v>
      </c>
      <c r="AJ7" s="1" t="n">
        <v>8</v>
      </c>
      <c r="AK7" s="1" t="n">
        <v>4</v>
      </c>
      <c r="AL7" s="1" t="n">
        <v>1</v>
      </c>
      <c r="AM7" s="2" t="n">
        <f aca="false">AK7+AL7/2</f>
        <v>4.5</v>
      </c>
      <c r="AN7" s="6" t="n">
        <f aca="false">ROUND(AVERAGE(AG7,AI7,AJ7,AM7),0)</f>
        <v>7</v>
      </c>
      <c r="AO7" s="6" t="n">
        <f aca="false">ROUND(AVERAGE(T7,AN7),0)</f>
        <v>7</v>
      </c>
    </row>
    <row r="8" s="8" customFormat="true" ht="15.65" hidden="true" customHeight="false" outlineLevel="0" collapsed="false">
      <c r="A8" s="7" t="n">
        <v>6</v>
      </c>
      <c r="B8" s="8" t="s">
        <v>33</v>
      </c>
      <c r="C8" s="7" t="n">
        <v>9</v>
      </c>
      <c r="D8" s="17" t="n">
        <v>45842</v>
      </c>
      <c r="E8" s="7" t="n">
        <v>9</v>
      </c>
      <c r="F8" s="7"/>
      <c r="G8" s="7" t="n">
        <v>9</v>
      </c>
      <c r="H8" s="7"/>
      <c r="I8" s="7" t="n">
        <v>5</v>
      </c>
      <c r="J8" s="17" t="n">
        <v>45784</v>
      </c>
      <c r="K8" s="7" t="n">
        <v>0</v>
      </c>
      <c r="L8" s="7" t="n">
        <f aca="false">I8+K8/2</f>
        <v>5</v>
      </c>
      <c r="M8" s="7" t="n">
        <f aca="false">ROUND(AVERAGE(C8,E8,G8,L8),0)</f>
        <v>8</v>
      </c>
      <c r="N8" s="11" t="str">
        <f aca="false">IF(M8&lt;7,"TEP","TEA")</f>
        <v>TEA</v>
      </c>
      <c r="O8" s="7" t="n">
        <v>6</v>
      </c>
      <c r="P8" s="17" t="n">
        <v>45784</v>
      </c>
      <c r="Q8" s="7" t="n">
        <v>10</v>
      </c>
      <c r="R8" s="7"/>
      <c r="S8" s="7" t="n">
        <v>10</v>
      </c>
      <c r="T8" s="11" t="n">
        <f aca="false">ROUND(AVERAGE(S8,Q8,O8,M8),0)</f>
        <v>9</v>
      </c>
      <c r="U8" s="7"/>
      <c r="V8" s="7"/>
      <c r="W8" s="7" t="n">
        <v>8</v>
      </c>
      <c r="X8" s="7" t="n">
        <v>8</v>
      </c>
      <c r="Y8" s="7" t="n">
        <v>8</v>
      </c>
      <c r="Z8" s="7"/>
      <c r="AA8" s="7"/>
      <c r="AB8" s="7"/>
      <c r="AC8" s="18" t="n">
        <v>10</v>
      </c>
      <c r="AD8" s="19" t="n">
        <v>45996</v>
      </c>
      <c r="AE8" s="7"/>
      <c r="AF8" s="7"/>
      <c r="AG8" s="18" t="n">
        <v>8</v>
      </c>
      <c r="AH8" s="19" t="n">
        <v>45996</v>
      </c>
      <c r="AI8" s="7" t="n">
        <v>8</v>
      </c>
      <c r="AJ8" s="7" t="n">
        <v>8</v>
      </c>
      <c r="AK8" s="7" t="n">
        <v>5</v>
      </c>
      <c r="AL8" s="7" t="n">
        <v>1</v>
      </c>
      <c r="AM8" s="8" t="n">
        <f aca="false">AK8+AL8/2</f>
        <v>5.5</v>
      </c>
      <c r="AN8" s="11" t="n">
        <f aca="false">ROUND(AVERAGE(AG8,AI8,AJ8,AM8),0)</f>
        <v>7</v>
      </c>
      <c r="AO8" s="7" t="n">
        <v>6</v>
      </c>
      <c r="AP8" s="8" t="n">
        <f aca="false">ROUND(AVERAGE(AC8,AG8,AI8,AJ8),0)</f>
        <v>9</v>
      </c>
      <c r="AQ8" s="7" t="n">
        <v>10</v>
      </c>
      <c r="AR8" s="8" t="s">
        <v>122</v>
      </c>
      <c r="AMM8" s="7"/>
    </row>
    <row r="9" customFormat="false" ht="15.65" hidden="true" customHeight="false" outlineLevel="0" collapsed="false">
      <c r="A9" s="1" t="n">
        <v>7</v>
      </c>
      <c r="B9" s="2" t="s">
        <v>36</v>
      </c>
      <c r="C9" s="1" t="n">
        <v>10</v>
      </c>
      <c r="E9" s="1" t="n">
        <v>9</v>
      </c>
      <c r="G9" s="1" t="n">
        <v>10</v>
      </c>
      <c r="I9" s="1" t="n">
        <v>10</v>
      </c>
      <c r="K9" s="1" t="n">
        <v>3</v>
      </c>
      <c r="L9" s="1" t="n">
        <f aca="false">I9+K9/2</f>
        <v>11.5</v>
      </c>
      <c r="M9" s="1" t="n">
        <f aca="false">ROUND(AVERAGE(C9,E9,G9,L9),0)</f>
        <v>10</v>
      </c>
      <c r="N9" s="6" t="str">
        <f aca="false">IF(M9&lt;7,"TEP","TEA")</f>
        <v>TEA</v>
      </c>
      <c r="O9" s="1" t="n">
        <v>6</v>
      </c>
      <c r="Q9" s="1" t="n">
        <v>8.75</v>
      </c>
      <c r="S9" s="1" t="n">
        <v>10</v>
      </c>
      <c r="T9" s="1" t="n">
        <f aca="false">ROUND(AVERAGE(S9,Q9,O9,M9),0)</f>
        <v>9</v>
      </c>
      <c r="AC9" s="1" t="n">
        <v>1</v>
      </c>
      <c r="AG9" s="1" t="n">
        <v>9</v>
      </c>
      <c r="AI9" s="1" t="n">
        <v>9</v>
      </c>
      <c r="AJ9" s="1" t="n">
        <v>8</v>
      </c>
      <c r="AK9" s="1" t="n">
        <v>9</v>
      </c>
      <c r="AL9" s="1" t="n">
        <v>1</v>
      </c>
      <c r="AM9" s="2" t="n">
        <f aca="false">AK9+AL9/2</f>
        <v>9.5</v>
      </c>
      <c r="AN9" s="6" t="n">
        <f aca="false">ROUND(AVERAGE(AG9,AI9,AJ9,AM9),0)</f>
        <v>9</v>
      </c>
      <c r="AO9" s="6" t="n">
        <f aca="false">ROUND(AVERAGE(T9,AN9),0)</f>
        <v>9</v>
      </c>
    </row>
    <row r="10" customFormat="false" ht="15.65" hidden="true" customHeight="false" outlineLevel="0" collapsed="false">
      <c r="A10" s="1" t="n">
        <v>8</v>
      </c>
      <c r="B10" s="2" t="s">
        <v>40</v>
      </c>
      <c r="C10" s="1" t="n">
        <v>9</v>
      </c>
      <c r="E10" s="1" t="n">
        <v>10</v>
      </c>
      <c r="G10" s="1" t="n">
        <v>10</v>
      </c>
      <c r="I10" s="1" t="n">
        <v>10</v>
      </c>
      <c r="K10" s="1" t="n">
        <v>4</v>
      </c>
      <c r="L10" s="1" t="n">
        <f aca="false">I10+K10/2</f>
        <v>12</v>
      </c>
      <c r="M10" s="1" t="n">
        <f aca="false">ROUND(AVERAGE(C10,E10,G10,L10),0)</f>
        <v>10</v>
      </c>
      <c r="N10" s="6" t="str">
        <f aca="false">IF(M10&lt;7,"TEP","TEA")</f>
        <v>TEA</v>
      </c>
      <c r="O10" s="1" t="n">
        <v>10</v>
      </c>
      <c r="Q10" s="1" t="n">
        <v>10</v>
      </c>
      <c r="S10" s="1" t="n">
        <v>10</v>
      </c>
      <c r="T10" s="1" t="n">
        <f aca="false">ROUND(AVERAGE(S10,Q10,O10,M10),0)</f>
        <v>10</v>
      </c>
      <c r="AC10" s="1" t="n">
        <v>6</v>
      </c>
      <c r="AG10" s="1" t="n">
        <v>10</v>
      </c>
      <c r="AI10" s="1" t="n">
        <v>8</v>
      </c>
      <c r="AJ10" s="1" t="n">
        <v>10</v>
      </c>
      <c r="AK10" s="1" t="n">
        <v>9</v>
      </c>
      <c r="AL10" s="1" t="n">
        <v>2</v>
      </c>
      <c r="AM10" s="2" t="n">
        <f aca="false">AK10+AL10/2</f>
        <v>10</v>
      </c>
      <c r="AN10" s="6" t="n">
        <f aca="false">ROUND(AVERAGE(AG10,AI10,AJ10,AM10),0)</f>
        <v>10</v>
      </c>
      <c r="AO10" s="6" t="n">
        <f aca="false">ROUND(AVERAGE(T10,AN10),0)</f>
        <v>10</v>
      </c>
    </row>
    <row r="11" customFormat="false" ht="15.65" hidden="true" customHeight="false" outlineLevel="0" collapsed="false">
      <c r="A11" s="1" t="n">
        <v>9</v>
      </c>
      <c r="B11" s="2" t="s">
        <v>45</v>
      </c>
      <c r="C11" s="1" t="n">
        <v>10</v>
      </c>
      <c r="E11" s="1" t="n">
        <v>10</v>
      </c>
      <c r="G11" s="1" t="n">
        <v>8</v>
      </c>
      <c r="I11" s="1" t="n">
        <v>10</v>
      </c>
      <c r="K11" s="1" t="n">
        <v>3</v>
      </c>
      <c r="L11" s="1" t="n">
        <f aca="false">I11+K11/2</f>
        <v>11.5</v>
      </c>
      <c r="M11" s="1" t="n">
        <f aca="false">ROUND(AVERAGE(C11,E11,G11,L11),0)</f>
        <v>10</v>
      </c>
      <c r="N11" s="6" t="str">
        <f aca="false">IF(M11&lt;7,"TEP","TEA")</f>
        <v>TEA</v>
      </c>
      <c r="O11" s="1" t="n">
        <v>7</v>
      </c>
      <c r="Q11" s="1" t="n">
        <v>8.75</v>
      </c>
      <c r="S11" s="1" t="n">
        <v>10</v>
      </c>
      <c r="T11" s="1" t="n">
        <f aca="false">ROUND(AVERAGE(S11,Q11,O11,M11),0)</f>
        <v>9</v>
      </c>
      <c r="AC11" s="1" t="n">
        <v>1</v>
      </c>
      <c r="AG11" s="1" t="n">
        <v>7</v>
      </c>
      <c r="AI11" s="1" t="n">
        <v>7</v>
      </c>
      <c r="AJ11" s="1" t="n">
        <v>8</v>
      </c>
      <c r="AK11" s="1" t="n">
        <v>4</v>
      </c>
      <c r="AL11" s="1" t="n">
        <v>0</v>
      </c>
      <c r="AM11" s="2" t="n">
        <f aca="false">AK11+AL11/2</f>
        <v>4</v>
      </c>
      <c r="AN11" s="6" t="n">
        <f aca="false">ROUND(AVERAGE(AG11,AI11,AJ11,AM11),0)</f>
        <v>7</v>
      </c>
      <c r="AO11" s="6" t="n">
        <f aca="false">ROUND(AVERAGE(T11,AN11),0)</f>
        <v>8</v>
      </c>
    </row>
    <row r="12" s="21" customFormat="true" ht="15.65" hidden="false" customHeight="false" outlineLevel="0" collapsed="false">
      <c r="A12" s="20" t="n">
        <v>10</v>
      </c>
      <c r="B12" s="21" t="s">
        <v>48</v>
      </c>
      <c r="C12" s="18" t="n">
        <v>10</v>
      </c>
      <c r="D12" s="22" t="n">
        <v>46073</v>
      </c>
      <c r="E12" s="20" t="n">
        <v>1</v>
      </c>
      <c r="F12" s="20"/>
      <c r="G12" s="18" t="n">
        <v>8</v>
      </c>
      <c r="H12" s="22" t="n">
        <v>46080</v>
      </c>
      <c r="I12" s="20" t="n">
        <v>1</v>
      </c>
      <c r="J12" s="20"/>
      <c r="K12" s="20" t="n">
        <v>3</v>
      </c>
      <c r="L12" s="20" t="n">
        <f aca="false">I12+K12/2</f>
        <v>2.5</v>
      </c>
      <c r="M12" s="20" t="n">
        <f aca="false">ROUND(AVERAGE(C12,E12,G12,L12),0)</f>
        <v>5</v>
      </c>
      <c r="N12" s="23" t="str">
        <f aca="false">IF(M12&lt;7,"TEP","TEA")</f>
        <v>TEP</v>
      </c>
      <c r="O12" s="20" t="n">
        <v>1</v>
      </c>
      <c r="P12" s="20"/>
      <c r="Q12" s="20" t="n">
        <v>8.25</v>
      </c>
      <c r="R12" s="20"/>
      <c r="S12" s="20" t="n">
        <v>10</v>
      </c>
      <c r="T12" s="23" t="n">
        <f aca="false">ROUND(AVERAGE(S12,Q12,O12,M12),0)</f>
        <v>6</v>
      </c>
      <c r="U12" s="20"/>
      <c r="V12" s="20" t="s">
        <v>18</v>
      </c>
      <c r="W12" s="20"/>
      <c r="X12" s="20"/>
      <c r="Y12" s="20"/>
      <c r="Z12" s="20"/>
      <c r="AA12" s="20"/>
      <c r="AB12" s="20"/>
      <c r="AC12" s="20" t="n">
        <v>1</v>
      </c>
      <c r="AD12" s="20"/>
      <c r="AE12" s="20"/>
      <c r="AF12" s="20"/>
      <c r="AG12" s="20" t="n">
        <v>2</v>
      </c>
      <c r="AH12" s="20"/>
      <c r="AI12" s="20" t="n">
        <v>7</v>
      </c>
      <c r="AJ12" s="20" t="n">
        <v>8</v>
      </c>
      <c r="AK12" s="20" t="n">
        <v>7</v>
      </c>
      <c r="AL12" s="20" t="n">
        <v>0</v>
      </c>
      <c r="AM12" s="21" t="n">
        <f aca="false">AK12+AL12/2</f>
        <v>7</v>
      </c>
      <c r="AN12" s="23" t="n">
        <f aca="false">ROUND(AVERAGE(AG12,AI12,AJ12,AM12),0)</f>
        <v>6</v>
      </c>
      <c r="AO12" s="23" t="n">
        <f aca="false">ROUND(AVERAGE(T12,AN12),0)</f>
        <v>6</v>
      </c>
      <c r="AP12" s="21" t="n">
        <f aca="false">ROUND(AVERAGE(AC12,AG12,AI12,AJ12),0)</f>
        <v>5</v>
      </c>
      <c r="AQ12" s="20" t="n">
        <v>2</v>
      </c>
      <c r="AR12" s="21" t="s">
        <v>123</v>
      </c>
      <c r="AS12" s="21" t="n">
        <v>5</v>
      </c>
      <c r="AT12" s="21" t="s">
        <v>124</v>
      </c>
      <c r="AMM12" s="20"/>
    </row>
    <row r="13" s="1" customFormat="true" ht="15.65" hidden="true" customHeight="false" outlineLevel="0" collapsed="false">
      <c r="A13" s="1" t="n">
        <v>11</v>
      </c>
      <c r="B13" s="2" t="s">
        <v>52</v>
      </c>
      <c r="C13" s="1" t="n">
        <v>10</v>
      </c>
      <c r="E13" s="1" t="n">
        <v>10</v>
      </c>
      <c r="G13" s="1" t="n">
        <v>10</v>
      </c>
      <c r="I13" s="1" t="n">
        <v>7</v>
      </c>
      <c r="K13" s="1" t="n">
        <v>3</v>
      </c>
      <c r="L13" s="1" t="n">
        <f aca="false">I13+K13/2</f>
        <v>8.5</v>
      </c>
      <c r="M13" s="1" t="n">
        <f aca="false">ROUND(AVERAGE(C13,E13,G13,L13),0)</f>
        <v>10</v>
      </c>
      <c r="N13" s="6" t="str">
        <f aca="false">IF(M13&lt;7,"TEP","TEA")</f>
        <v>TEA</v>
      </c>
      <c r="O13" s="1" t="n">
        <v>10</v>
      </c>
      <c r="Q13" s="1" t="n">
        <v>8.75</v>
      </c>
      <c r="S13" s="1" t="n">
        <v>10</v>
      </c>
      <c r="T13" s="1" t="n">
        <f aca="false">ROUND(AVERAGE(S13,Q13,O13,M13),0)</f>
        <v>10</v>
      </c>
      <c r="AC13" s="1" t="n">
        <v>10</v>
      </c>
      <c r="AG13" s="1" t="n">
        <v>9</v>
      </c>
      <c r="AI13" s="1" t="n">
        <v>8</v>
      </c>
      <c r="AJ13" s="1" t="n">
        <v>8</v>
      </c>
      <c r="AK13" s="1" t="n">
        <v>8</v>
      </c>
      <c r="AL13" s="1" t="n">
        <v>2</v>
      </c>
      <c r="AM13" s="2" t="n">
        <f aca="false">AK13+AL13/2</f>
        <v>9</v>
      </c>
      <c r="AN13" s="6" t="n">
        <f aca="false">ROUND(AVERAGE(AG13,AI13,AJ13,AM13),0)</f>
        <v>9</v>
      </c>
      <c r="AO13" s="6" t="n">
        <f aca="false">ROUND(AVERAGE(T13,AN13),0)</f>
        <v>10</v>
      </c>
    </row>
    <row r="14" s="1" customFormat="true" ht="15.65" hidden="true" customHeight="false" outlineLevel="0" collapsed="false">
      <c r="A14" s="1" t="n">
        <v>12</v>
      </c>
      <c r="B14" s="2" t="s">
        <v>55</v>
      </c>
      <c r="C14" s="1" t="n">
        <v>7</v>
      </c>
      <c r="E14" s="1" t="n">
        <v>9</v>
      </c>
      <c r="G14" s="1" t="n">
        <v>9</v>
      </c>
      <c r="I14" s="1" t="n">
        <v>7</v>
      </c>
      <c r="K14" s="1" t="n">
        <v>0</v>
      </c>
      <c r="L14" s="1" t="n">
        <f aca="false">I14+K14/2</f>
        <v>7</v>
      </c>
      <c r="M14" s="1" t="n">
        <f aca="false">ROUND(AVERAGE(C14,E14,G14,L14),0)</f>
        <v>8</v>
      </c>
      <c r="N14" s="6" t="str">
        <f aca="false">IF(M14&lt;7,"TEP","TEA")</f>
        <v>TEA</v>
      </c>
      <c r="O14" s="1" t="n">
        <v>9</v>
      </c>
      <c r="Q14" s="1" t="n">
        <v>9.5</v>
      </c>
      <c r="S14" s="1" t="n">
        <v>9</v>
      </c>
      <c r="T14" s="1" t="n">
        <f aca="false">ROUND(AVERAGE(S14,Q14,O14,M14),0)</f>
        <v>9</v>
      </c>
      <c r="AC14" s="1" t="n">
        <v>10</v>
      </c>
      <c r="AG14" s="1" t="n">
        <v>10</v>
      </c>
      <c r="AI14" s="1" t="n">
        <v>8</v>
      </c>
      <c r="AJ14" s="1" t="n">
        <v>8</v>
      </c>
      <c r="AK14" s="1" t="n">
        <v>7</v>
      </c>
      <c r="AL14" s="1" t="n">
        <v>0</v>
      </c>
      <c r="AM14" s="2" t="n">
        <f aca="false">AK14+AL14/2</f>
        <v>7</v>
      </c>
      <c r="AN14" s="6" t="n">
        <f aca="false">ROUND(AVERAGE(AG14,AI14,AJ14,AM14),0)</f>
        <v>8</v>
      </c>
      <c r="AO14" s="6" t="n">
        <f aca="false">ROUND(AVERAGE(T14,AN14),0)</f>
        <v>9</v>
      </c>
    </row>
    <row r="15" s="2" customFormat="true" ht="15.65" hidden="true" customHeight="false" outlineLevel="0" collapsed="false">
      <c r="A15" s="1" t="n">
        <v>13</v>
      </c>
      <c r="B15" s="2" t="s">
        <v>58</v>
      </c>
      <c r="C15" s="1" t="n">
        <v>10</v>
      </c>
      <c r="D15" s="1"/>
      <c r="E15" s="1" t="n">
        <v>6</v>
      </c>
      <c r="F15" s="3" t="n">
        <v>45877</v>
      </c>
      <c r="G15" s="1" t="n">
        <v>7</v>
      </c>
      <c r="H15" s="1"/>
      <c r="I15" s="1" t="n">
        <v>4</v>
      </c>
      <c r="J15" s="3" t="n">
        <v>45877</v>
      </c>
      <c r="K15" s="1" t="n">
        <v>3</v>
      </c>
      <c r="L15" s="1" t="n">
        <f aca="false">I15+K15/2</f>
        <v>5.5</v>
      </c>
      <c r="M15" s="1" t="n">
        <f aca="false">ROUND(AVERAGE(C15,E15,G15,L15),0)</f>
        <v>7</v>
      </c>
      <c r="N15" s="6" t="str">
        <f aca="false">IF(M15&lt;7,"TEP","TEA")</f>
        <v>TEA</v>
      </c>
      <c r="O15" s="1" t="n">
        <v>5</v>
      </c>
      <c r="P15" s="3" t="n">
        <v>45877</v>
      </c>
      <c r="Q15" s="1" t="n">
        <v>7.25</v>
      </c>
      <c r="R15" s="1"/>
      <c r="S15" s="1" t="n">
        <v>9</v>
      </c>
      <c r="T15" s="1" t="n">
        <f aca="false">ROUND(AVERAGE(S15,Q15,O15,M15),0)</f>
        <v>7</v>
      </c>
      <c r="U15" s="1" t="s">
        <v>121</v>
      </c>
      <c r="V15" s="1" t="s">
        <v>16</v>
      </c>
      <c r="W15" s="1"/>
      <c r="X15" s="1"/>
      <c r="Y15" s="1"/>
      <c r="Z15" s="1"/>
      <c r="AA15" s="1"/>
      <c r="AB15" s="1"/>
      <c r="AC15" s="1" t="n">
        <v>1</v>
      </c>
      <c r="AD15" s="1"/>
      <c r="AE15" s="1"/>
      <c r="AF15" s="1"/>
      <c r="AG15" s="1" t="n">
        <v>8</v>
      </c>
      <c r="AH15" s="1"/>
      <c r="AI15" s="1" t="n">
        <v>1</v>
      </c>
      <c r="AJ15" s="1" t="n">
        <v>1</v>
      </c>
      <c r="AK15" s="1" t="n">
        <v>9</v>
      </c>
      <c r="AL15" s="1" t="n">
        <v>2</v>
      </c>
      <c r="AM15" s="2" t="n">
        <f aca="false">AK15+AL15/2</f>
        <v>10</v>
      </c>
      <c r="AN15" s="6" t="n">
        <f aca="false">ROUND(AVERAGE(AG15,AI15,AJ15,AM15),0)</f>
        <v>5</v>
      </c>
      <c r="AO15" s="6" t="n">
        <f aca="false">ROUND(AVERAGE(T15,AN15),0)</f>
        <v>6</v>
      </c>
      <c r="AP15" s="2" t="n">
        <f aca="false">ROUND(AVERAGE(AC15,AG15,AI15,AJ15),0)</f>
        <v>3</v>
      </c>
      <c r="AQ15" s="1" t="n">
        <v>4</v>
      </c>
      <c r="AR15" s="2" t="s">
        <v>122</v>
      </c>
      <c r="AMM15" s="1"/>
    </row>
    <row r="16" s="1" customFormat="true" ht="15.65" hidden="true" customHeight="false" outlineLevel="0" collapsed="false">
      <c r="A16" s="1" t="n">
        <v>14</v>
      </c>
      <c r="B16" s="2" t="s">
        <v>61</v>
      </c>
      <c r="C16" s="1" t="n">
        <v>9</v>
      </c>
      <c r="E16" s="1" t="n">
        <v>10</v>
      </c>
      <c r="G16" s="1" t="n">
        <v>7</v>
      </c>
      <c r="I16" s="1" t="n">
        <v>7</v>
      </c>
      <c r="K16" s="1" t="n">
        <v>3</v>
      </c>
      <c r="L16" s="1" t="n">
        <f aca="false">I16+K16/2</f>
        <v>8.5</v>
      </c>
      <c r="M16" s="1" t="n">
        <f aca="false">ROUND(AVERAGE(C16,E16,G16,L16),0)</f>
        <v>9</v>
      </c>
      <c r="N16" s="6" t="str">
        <f aca="false">IF(M16&lt;7,"TEP","TEA")</f>
        <v>TEA</v>
      </c>
      <c r="O16" s="1" t="n">
        <v>6</v>
      </c>
      <c r="Q16" s="1" t="n">
        <v>9.25</v>
      </c>
      <c r="S16" s="1" t="n">
        <v>7</v>
      </c>
      <c r="T16" s="1" t="n">
        <f aca="false">ROUND(AVERAGE(S16,Q16,O16,M16),0)</f>
        <v>8</v>
      </c>
      <c r="AC16" s="1" t="n">
        <v>1</v>
      </c>
      <c r="AG16" s="1" t="n">
        <v>8</v>
      </c>
      <c r="AI16" s="1" t="n">
        <v>10</v>
      </c>
      <c r="AJ16" s="1" t="n">
        <v>10</v>
      </c>
      <c r="AK16" s="1" t="n">
        <v>10</v>
      </c>
      <c r="AL16" s="1" t="n">
        <v>2</v>
      </c>
      <c r="AM16" s="2" t="n">
        <f aca="false">AK16+AL16/2</f>
        <v>11</v>
      </c>
      <c r="AN16" s="6" t="n">
        <f aca="false">ROUND(AVERAGE(AG16,AI16,AJ16,AM16),0)</f>
        <v>10</v>
      </c>
      <c r="AO16" s="6" t="n">
        <f aca="false">ROUND(AVERAGE(T16,AN16),0)</f>
        <v>9</v>
      </c>
    </row>
    <row r="17" s="1" customFormat="true" ht="15.65" hidden="true" customHeight="false" outlineLevel="0" collapsed="false">
      <c r="A17" s="1" t="n">
        <v>15</v>
      </c>
      <c r="B17" s="2" t="s">
        <v>64</v>
      </c>
      <c r="C17" s="1" t="n">
        <v>10</v>
      </c>
      <c r="E17" s="1" t="n">
        <v>10</v>
      </c>
      <c r="G17" s="1" t="n">
        <v>7</v>
      </c>
      <c r="I17" s="1" t="n">
        <v>7</v>
      </c>
      <c r="J17" s="3" t="n">
        <v>45782</v>
      </c>
      <c r="K17" s="1" t="n">
        <v>3</v>
      </c>
      <c r="L17" s="1" t="n">
        <f aca="false">I17+K17/2</f>
        <v>8.5</v>
      </c>
      <c r="M17" s="1" t="n">
        <f aca="false">ROUND(AVERAGE(C17,E17,G17,L17),0)</f>
        <v>9</v>
      </c>
      <c r="N17" s="6" t="str">
        <f aca="false">IF(M17&lt;7,"TEP","TEA")</f>
        <v>TEA</v>
      </c>
      <c r="O17" s="1" t="n">
        <v>6</v>
      </c>
      <c r="P17" s="3" t="n">
        <v>45782</v>
      </c>
      <c r="Q17" s="1" t="n">
        <v>7.25</v>
      </c>
      <c r="S17" s="1" t="n">
        <v>10</v>
      </c>
      <c r="T17" s="1" t="n">
        <f aca="false">ROUND(AVERAGE(S17,Q17,O17,M17),0)</f>
        <v>8</v>
      </c>
      <c r="AC17" s="1" t="n">
        <v>1</v>
      </c>
      <c r="AG17" s="1" t="n">
        <v>10</v>
      </c>
      <c r="AI17" s="1" t="n">
        <v>8</v>
      </c>
      <c r="AJ17" s="1" t="n">
        <v>8</v>
      </c>
      <c r="AK17" s="1" t="n">
        <v>7</v>
      </c>
      <c r="AL17" s="1" t="n">
        <v>1</v>
      </c>
      <c r="AM17" s="2" t="n">
        <f aca="false">AK17+AL17/2</f>
        <v>7.5</v>
      </c>
      <c r="AN17" s="6" t="n">
        <f aca="false">ROUND(AVERAGE(AG17,AI17,AJ17,AM17),0)</f>
        <v>8</v>
      </c>
      <c r="AO17" s="6" t="n">
        <f aca="false">ROUND(AVERAGE(T17,AN17),0)</f>
        <v>8</v>
      </c>
    </row>
    <row r="18" s="2" customFormat="true" ht="15.65" hidden="true" customHeight="false" outlineLevel="0" collapsed="false">
      <c r="A18" s="1" t="n">
        <v>16</v>
      </c>
      <c r="B18" s="2" t="s">
        <v>67</v>
      </c>
      <c r="C18" s="1" t="n">
        <v>7</v>
      </c>
      <c r="D18" s="3" t="n">
        <v>45877</v>
      </c>
      <c r="E18" s="1" t="n">
        <v>1</v>
      </c>
      <c r="F18" s="1"/>
      <c r="G18" s="1" t="n">
        <v>1</v>
      </c>
      <c r="H18" s="1"/>
      <c r="I18" s="1" t="n">
        <v>1</v>
      </c>
      <c r="J18" s="1"/>
      <c r="K18" s="1" t="n">
        <v>0</v>
      </c>
      <c r="L18" s="1" t="n">
        <f aca="false">I18+K18/2</f>
        <v>1</v>
      </c>
      <c r="M18" s="1" t="n">
        <f aca="false">ROUND(AVERAGE(C18,E18,G18,L18),0)</f>
        <v>3</v>
      </c>
      <c r="N18" s="6" t="str">
        <f aca="false">IF(M18&lt;7,"TEP","TEA")</f>
        <v>TEP</v>
      </c>
      <c r="O18" s="1" t="n">
        <v>1</v>
      </c>
      <c r="P18" s="1"/>
      <c r="Q18" s="1" t="n">
        <v>1</v>
      </c>
      <c r="R18" s="1"/>
      <c r="S18" s="1" t="n">
        <v>7</v>
      </c>
      <c r="T18" s="1" t="n">
        <f aca="false">ROUND(AVERAGE(S18,Q18,O18,M18),0)</f>
        <v>3</v>
      </c>
      <c r="U18" s="1"/>
      <c r="V18" s="1" t="s">
        <v>16</v>
      </c>
      <c r="W18" s="1"/>
      <c r="X18" s="1"/>
      <c r="Y18" s="1"/>
      <c r="Z18" s="1"/>
      <c r="AA18" s="1"/>
      <c r="AB18" s="1"/>
      <c r="AC18" s="1" t="n">
        <v>1</v>
      </c>
      <c r="AD18" s="1"/>
      <c r="AE18" s="1"/>
      <c r="AF18" s="1"/>
      <c r="AG18" s="1" t="n">
        <v>5</v>
      </c>
      <c r="AH18" s="1"/>
      <c r="AI18" s="1" t="n">
        <v>1</v>
      </c>
      <c r="AJ18" s="1" t="n">
        <v>1</v>
      </c>
      <c r="AK18" s="1" t="n">
        <v>2</v>
      </c>
      <c r="AL18" s="1" t="n">
        <v>0</v>
      </c>
      <c r="AM18" s="2" t="n">
        <f aca="false">AK18+AL18/2</f>
        <v>2</v>
      </c>
      <c r="AN18" s="6" t="n">
        <f aca="false">ROUND(AVERAGE(AG18,AI18,AJ18,AM18),0)</f>
        <v>2</v>
      </c>
      <c r="AO18" s="6" t="n">
        <f aca="false">ROUND(AVERAGE(T18,AN18),0)</f>
        <v>3</v>
      </c>
      <c r="AP18" s="2" t="n">
        <f aca="false">ROUND(AVERAGE(AC18,AG18,AI18,AJ18),0)</f>
        <v>2</v>
      </c>
      <c r="AQ18" s="1" t="n">
        <v>5</v>
      </c>
      <c r="AR18" s="2" t="s">
        <v>122</v>
      </c>
      <c r="AMM18" s="1"/>
    </row>
    <row r="19" s="2" customFormat="true" ht="15.65" hidden="true" customHeight="false" outlineLevel="0" collapsed="false">
      <c r="A19" s="1" t="n">
        <v>17</v>
      </c>
      <c r="B19" s="2" t="s">
        <v>70</v>
      </c>
      <c r="C19" s="1" t="n">
        <v>10</v>
      </c>
      <c r="D19" s="1"/>
      <c r="E19" s="1" t="n">
        <v>10</v>
      </c>
      <c r="F19" s="1"/>
      <c r="G19" s="1" t="n">
        <v>8</v>
      </c>
      <c r="H19" s="1"/>
      <c r="I19" s="1" t="n">
        <v>6</v>
      </c>
      <c r="J19" s="3" t="n">
        <v>45784</v>
      </c>
      <c r="K19" s="1" t="n">
        <v>3</v>
      </c>
      <c r="L19" s="1" t="n">
        <f aca="false">I19+K19/2</f>
        <v>7.5</v>
      </c>
      <c r="M19" s="1" t="n">
        <f aca="false">ROUND(AVERAGE(C19,E19,G19,L19),0)</f>
        <v>9</v>
      </c>
      <c r="N19" s="6" t="str">
        <f aca="false">IF(M19&lt;7,"TEP","TEA")</f>
        <v>TEA</v>
      </c>
      <c r="O19" s="1" t="n">
        <v>1</v>
      </c>
      <c r="P19" s="1"/>
      <c r="Q19" s="1" t="n">
        <v>9</v>
      </c>
      <c r="R19" s="1"/>
      <c r="S19" s="1" t="n">
        <v>9</v>
      </c>
      <c r="T19" s="1" t="n">
        <f aca="false">ROUND(AVERAGE(S19,Q19,O19,M19),0)</f>
        <v>7</v>
      </c>
      <c r="U19" s="1"/>
      <c r="V19" s="1"/>
      <c r="W19" s="1"/>
      <c r="X19" s="1"/>
      <c r="Y19" s="1"/>
      <c r="Z19" s="1"/>
      <c r="AA19" s="1"/>
      <c r="AB19" s="1"/>
      <c r="AC19" s="1" t="n">
        <v>1</v>
      </c>
      <c r="AD19" s="1"/>
      <c r="AE19" s="1"/>
      <c r="AF19" s="1"/>
      <c r="AG19" s="1" t="n">
        <v>5</v>
      </c>
      <c r="AH19" s="1"/>
      <c r="AI19" s="1" t="n">
        <v>1</v>
      </c>
      <c r="AJ19" s="1" t="n">
        <v>1</v>
      </c>
      <c r="AK19" s="1" t="n">
        <v>7</v>
      </c>
      <c r="AL19" s="1" t="n">
        <v>1</v>
      </c>
      <c r="AM19" s="2" t="n">
        <f aca="false">AK19+AL19/2</f>
        <v>7.5</v>
      </c>
      <c r="AN19" s="6" t="n">
        <f aca="false">ROUND(AVERAGE(AG19,AI19,AJ19,AM19),0)</f>
        <v>4</v>
      </c>
      <c r="AO19" s="6" t="n">
        <f aca="false">ROUND(AVERAGE(T19,AN19),0)</f>
        <v>6</v>
      </c>
      <c r="AP19" s="2" t="n">
        <f aca="false">ROUND(AVERAGE(AC19,AG19,AI19,AJ19),0)</f>
        <v>2</v>
      </c>
      <c r="AQ19" s="1" t="n">
        <v>5</v>
      </c>
      <c r="AR19" s="2" t="s">
        <v>122</v>
      </c>
      <c r="AMM19" s="1"/>
    </row>
    <row r="20" s="24" customFormat="true" ht="15.65" hidden="true" customHeight="false" outlineLevel="0" collapsed="false">
      <c r="A20" s="24" t="n">
        <v>18</v>
      </c>
      <c r="B20" s="25" t="s">
        <v>73</v>
      </c>
      <c r="C20" s="24" t="n">
        <v>9</v>
      </c>
      <c r="E20" s="24" t="n">
        <v>10</v>
      </c>
      <c r="G20" s="24" t="n">
        <v>7</v>
      </c>
      <c r="I20" s="24" t="n">
        <v>1</v>
      </c>
      <c r="K20" s="24" t="n">
        <v>0</v>
      </c>
      <c r="L20" s="24" t="n">
        <f aca="false">I20+K20/2</f>
        <v>1</v>
      </c>
      <c r="M20" s="24" t="n">
        <f aca="false">ROUND(AVERAGE(C20,E20,G20,L20),0)</f>
        <v>7</v>
      </c>
      <c r="N20" s="26" t="str">
        <f aca="false">IF(M20&lt;7,"TEP","TEA")</f>
        <v>TEA</v>
      </c>
      <c r="O20" s="24" t="n">
        <v>1</v>
      </c>
      <c r="Q20" s="24" t="n">
        <v>8.5</v>
      </c>
      <c r="S20" s="24" t="n">
        <v>6</v>
      </c>
      <c r="T20" s="26" t="n">
        <f aca="false">ROUND(AVERAGE(S20,Q20,O20,M20),0)</f>
        <v>6</v>
      </c>
      <c r="V20" s="24" t="s">
        <v>16</v>
      </c>
      <c r="AC20" s="24" t="n">
        <v>1</v>
      </c>
      <c r="AG20" s="24" t="n">
        <v>1</v>
      </c>
      <c r="AI20" s="24" t="n">
        <v>1</v>
      </c>
      <c r="AJ20" s="24" t="n">
        <v>1</v>
      </c>
      <c r="AK20" s="24" t="n">
        <v>7</v>
      </c>
      <c r="AL20" s="24" t="n">
        <v>1</v>
      </c>
      <c r="AM20" s="25" t="n">
        <f aca="false">AK20+AL20/2</f>
        <v>7.5</v>
      </c>
      <c r="AN20" s="26" t="n">
        <f aca="false">ROUND(AVERAGE(AG20,AI20,AJ20,AM20),0)</f>
        <v>3</v>
      </c>
      <c r="AO20" s="26" t="n">
        <f aca="false">ROUND(AVERAGE(T20,AN20),0)</f>
        <v>5</v>
      </c>
      <c r="AQ20" s="24" t="n">
        <v>2</v>
      </c>
      <c r="AR20" s="24" t="s">
        <v>123</v>
      </c>
    </row>
    <row r="21" s="20" customFormat="true" ht="15.65" hidden="false" customHeight="false" outlineLevel="0" collapsed="false">
      <c r="A21" s="20" t="n">
        <v>19</v>
      </c>
      <c r="B21" s="21" t="s">
        <v>76</v>
      </c>
      <c r="C21" s="20" t="n">
        <v>9</v>
      </c>
      <c r="E21" s="20" t="n">
        <v>10</v>
      </c>
      <c r="G21" s="20" t="n">
        <v>9</v>
      </c>
      <c r="I21" s="20" t="n">
        <v>1</v>
      </c>
      <c r="K21" s="20" t="n">
        <v>3</v>
      </c>
      <c r="L21" s="20" t="n">
        <f aca="false">I21+K21/2</f>
        <v>2.5</v>
      </c>
      <c r="M21" s="20" t="n">
        <f aca="false">ROUND(AVERAGE(C21,E21,G21,L21),0)</f>
        <v>8</v>
      </c>
      <c r="N21" s="23" t="str">
        <f aca="false">IF(M21&lt;7,"TEP","TEA")</f>
        <v>TEA</v>
      </c>
      <c r="O21" s="20" t="n">
        <v>1</v>
      </c>
      <c r="Q21" s="20" t="n">
        <v>8.5</v>
      </c>
      <c r="S21" s="20" t="n">
        <v>9</v>
      </c>
      <c r="T21" s="23" t="n">
        <f aca="false">ROUND(AVERAGE(S21,Q21,O21,M21),0)</f>
        <v>7</v>
      </c>
      <c r="AC21" s="20" t="n">
        <v>1</v>
      </c>
      <c r="AG21" s="21" t="s">
        <v>78</v>
      </c>
      <c r="AH21" s="21"/>
      <c r="AI21" s="21" t="s">
        <v>78</v>
      </c>
      <c r="AJ21" s="21" t="s">
        <v>78</v>
      </c>
      <c r="AK21" s="20" t="n">
        <v>0</v>
      </c>
      <c r="AL21" s="20" t="n">
        <v>0</v>
      </c>
      <c r="AM21" s="21" t="n">
        <f aca="false">AK21+AL21/2</f>
        <v>0</v>
      </c>
      <c r="AN21" s="23" t="n">
        <f aca="false">ROUND(AVERAGE(AG21,AI21,AJ21,AM21),0)</f>
        <v>0</v>
      </c>
      <c r="AO21" s="23" t="n">
        <f aca="false">ROUND(AVERAGE(T21,AN21),0)</f>
        <v>4</v>
      </c>
      <c r="AS21" s="20" t="n">
        <v>6</v>
      </c>
      <c r="AT21" s="20" t="s">
        <v>124</v>
      </c>
    </row>
    <row r="22" s="1" customFormat="true" ht="15.65" hidden="true" customHeight="false" outlineLevel="0" collapsed="false">
      <c r="A22" s="1" t="n">
        <v>20</v>
      </c>
      <c r="B22" s="2" t="s">
        <v>80</v>
      </c>
      <c r="C22" s="1" t="n">
        <v>10</v>
      </c>
      <c r="E22" s="1" t="n">
        <v>7</v>
      </c>
      <c r="G22" s="1" t="n">
        <v>7</v>
      </c>
      <c r="I22" s="1" t="n">
        <v>5</v>
      </c>
      <c r="J22" s="3" t="n">
        <v>45845</v>
      </c>
      <c r="K22" s="1" t="n">
        <v>3</v>
      </c>
      <c r="L22" s="1" t="n">
        <f aca="false">I22+K22/2</f>
        <v>6.5</v>
      </c>
      <c r="M22" s="1" t="n">
        <f aca="false">ROUND(AVERAGE(C22,E22,G22,L22),0)</f>
        <v>8</v>
      </c>
      <c r="N22" s="6" t="str">
        <f aca="false">IF(M22&lt;7,"TEP","TEA")</f>
        <v>TEA</v>
      </c>
      <c r="O22" s="1" t="n">
        <v>7</v>
      </c>
      <c r="P22" s="3" t="n">
        <v>45784</v>
      </c>
      <c r="Q22" s="1" t="n">
        <v>9</v>
      </c>
      <c r="S22" s="1" t="n">
        <v>10</v>
      </c>
      <c r="T22" s="1" t="n">
        <f aca="false">ROUND(AVERAGE(S22,Q22,O22,M22),0)</f>
        <v>9</v>
      </c>
      <c r="AC22" s="1" t="n">
        <v>1</v>
      </c>
      <c r="AG22" s="1" t="n">
        <v>7</v>
      </c>
      <c r="AI22" s="1" t="n">
        <v>7</v>
      </c>
      <c r="AJ22" s="1" t="n">
        <v>7</v>
      </c>
      <c r="AK22" s="1" t="n">
        <v>7</v>
      </c>
      <c r="AL22" s="1" t="n">
        <v>1</v>
      </c>
      <c r="AM22" s="2" t="n">
        <f aca="false">AK22+AL22/2</f>
        <v>7.5</v>
      </c>
      <c r="AN22" s="6" t="n">
        <f aca="false">ROUND(AVERAGE(AG22,AI22,AJ22,AM22),0)</f>
        <v>7</v>
      </c>
      <c r="AO22" s="6" t="n">
        <f aca="false">ROUND(AVERAGE(T22,AN22),0)</f>
        <v>8</v>
      </c>
    </row>
    <row r="23" s="1" customFormat="true" ht="15.65" hidden="true" customHeight="false" outlineLevel="0" collapsed="false">
      <c r="A23" s="1" t="n">
        <v>21</v>
      </c>
      <c r="B23" s="2" t="s">
        <v>83</v>
      </c>
      <c r="C23" s="1" t="n">
        <v>9</v>
      </c>
      <c r="E23" s="1" t="n">
        <v>9</v>
      </c>
      <c r="G23" s="1" t="n">
        <v>9</v>
      </c>
      <c r="I23" s="1" t="n">
        <v>10</v>
      </c>
      <c r="K23" s="1" t="n">
        <v>3</v>
      </c>
      <c r="L23" s="1" t="n">
        <f aca="false">I23+K23/2</f>
        <v>11.5</v>
      </c>
      <c r="M23" s="1" t="n">
        <f aca="false">ROUND(AVERAGE(C23,E23,G23,L23),0)</f>
        <v>10</v>
      </c>
      <c r="N23" s="6" t="str">
        <f aca="false">IF(M23&lt;7,"TEP","TEA")</f>
        <v>TEA</v>
      </c>
      <c r="O23" s="1" t="n">
        <v>7</v>
      </c>
      <c r="P23" s="3" t="n">
        <v>45782</v>
      </c>
      <c r="Q23" s="1" t="n">
        <v>9.25</v>
      </c>
      <c r="S23" s="1" t="n">
        <v>6</v>
      </c>
      <c r="T23" s="1" t="n">
        <f aca="false">ROUND(AVERAGE(S23,Q23,O23,M23),0)</f>
        <v>8</v>
      </c>
      <c r="AC23" s="1" t="n">
        <v>10</v>
      </c>
      <c r="AG23" s="1" t="n">
        <v>9</v>
      </c>
      <c r="AI23" s="1" t="n">
        <v>10</v>
      </c>
      <c r="AJ23" s="1" t="n">
        <v>10</v>
      </c>
      <c r="AK23" s="1" t="n">
        <v>5</v>
      </c>
      <c r="AL23" s="1" t="n">
        <v>1</v>
      </c>
      <c r="AM23" s="2" t="n">
        <f aca="false">AK23+AL23/2</f>
        <v>5.5</v>
      </c>
      <c r="AN23" s="6" t="n">
        <f aca="false">ROUND(AVERAGE(AG23,AI23,AJ23,AM23),0)</f>
        <v>9</v>
      </c>
      <c r="AO23" s="6" t="n">
        <f aca="false">ROUND(AVERAGE(T23,AN23),0)</f>
        <v>9</v>
      </c>
    </row>
    <row r="24" s="2" customFormat="true" ht="15.65" hidden="true" customHeight="false" outlineLevel="0" collapsed="false">
      <c r="A24" s="1" t="n">
        <v>22</v>
      </c>
      <c r="B24" s="2" t="s">
        <v>86</v>
      </c>
      <c r="C24" s="1" t="n">
        <v>10</v>
      </c>
      <c r="D24" s="1"/>
      <c r="E24" s="1" t="n">
        <v>10</v>
      </c>
      <c r="F24" s="1"/>
      <c r="G24" s="1" t="n">
        <v>8</v>
      </c>
      <c r="H24" s="1"/>
      <c r="I24" s="1" t="n">
        <v>6</v>
      </c>
      <c r="J24" s="1"/>
      <c r="K24" s="1" t="n">
        <v>3</v>
      </c>
      <c r="L24" s="1" t="n">
        <f aca="false">I24+K24/2</f>
        <v>7.5</v>
      </c>
      <c r="M24" s="1" t="n">
        <f aca="false">ROUND(AVERAGE(C24,E24,G24,L24),0)</f>
        <v>9</v>
      </c>
      <c r="N24" s="6" t="str">
        <f aca="false">IF(M24&lt;7,"TEP","TEA")</f>
        <v>TEA</v>
      </c>
      <c r="O24" s="1" t="n">
        <v>1</v>
      </c>
      <c r="P24" s="1"/>
      <c r="Q24" s="1" t="n">
        <v>9</v>
      </c>
      <c r="R24" s="1"/>
      <c r="S24" s="1" t="n">
        <v>10</v>
      </c>
      <c r="T24" s="1" t="n">
        <f aca="false">ROUND(AVERAGE(S24,Q24,O24,M24),0)</f>
        <v>7</v>
      </c>
      <c r="U24" s="1"/>
      <c r="V24" s="1"/>
      <c r="W24" s="1"/>
      <c r="X24" s="1"/>
      <c r="Y24" s="1"/>
      <c r="Z24" s="1"/>
      <c r="AA24" s="1"/>
      <c r="AB24" s="1"/>
      <c r="AC24" s="1" t="n">
        <v>1</v>
      </c>
      <c r="AD24" s="1"/>
      <c r="AE24" s="1"/>
      <c r="AF24" s="1"/>
      <c r="AG24" s="1" t="n">
        <v>3</v>
      </c>
      <c r="AH24" s="1"/>
      <c r="AI24" s="1" t="n">
        <v>1</v>
      </c>
      <c r="AJ24" s="1" t="n">
        <v>1</v>
      </c>
      <c r="AK24" s="1" t="n">
        <v>7</v>
      </c>
      <c r="AL24" s="1" t="n">
        <v>0</v>
      </c>
      <c r="AM24" s="2" t="n">
        <f aca="false">AK24+AL24/2</f>
        <v>7</v>
      </c>
      <c r="AN24" s="6" t="n">
        <f aca="false">ROUND(AVERAGE(AG24,AI24,AJ24,AM24),0)</f>
        <v>3</v>
      </c>
      <c r="AO24" s="6" t="n">
        <f aca="false">ROUND(AVERAGE(T24,AN24),0)</f>
        <v>5</v>
      </c>
      <c r="AP24" s="2" t="n">
        <f aca="false">ROUND(AVERAGE(AC24,AG24,AI24,AJ24),0)</f>
        <v>2</v>
      </c>
      <c r="AQ24" s="1" t="n">
        <v>4</v>
      </c>
      <c r="AR24" s="2" t="s">
        <v>122</v>
      </c>
      <c r="AMM24" s="1"/>
    </row>
  </sheetData>
  <conditionalFormatting sqref="N3:N24">
    <cfRule type="cellIs" priority="2" operator="equal" aboveAverage="0" equalAverage="0" bottom="0" percent="0" rank="0" text="" dxfId="5">
      <formula>"TEP"</formula>
    </cfRule>
  </conditionalFormatting>
  <conditionalFormatting sqref="T3:T24">
    <cfRule type="cellIs" priority="3" operator="greaterThan" aboveAverage="0" equalAverage="0" bottom="0" percent="0" rank="0" text="" dxfId="6">
      <formula>6</formula>
    </cfRule>
    <cfRule type="cellIs" priority="4" operator="between" aboveAverage="0" equalAverage="0" bottom="0" percent="0" rank="0" text="" dxfId="7">
      <formula>4</formula>
      <formula>6</formula>
    </cfRule>
    <cfRule type="cellIs" priority="5" operator="lessThan" aboveAverage="0" equalAverage="0" bottom="0" percent="0" rank="0" text="" dxfId="8">
      <formula>4</formula>
    </cfRule>
  </conditionalFormatting>
  <conditionalFormatting sqref="AN3:AN24">
    <cfRule type="cellIs" priority="6" operator="greaterThan" aboveAverage="0" equalAverage="0" bottom="0" percent="0" rank="0" text="" dxfId="0">
      <formula>6</formula>
    </cfRule>
    <cfRule type="cellIs" priority="7" operator="between" aboveAverage="0" equalAverage="0" bottom="0" percent="0" rank="0" text="" dxfId="1">
      <formula>4</formula>
      <formula>6</formula>
    </cfRule>
    <cfRule type="cellIs" priority="8" operator="lessThan" aboveAverage="0" equalAverage="0" bottom="0" percent="0" rank="0" text="" dxfId="2">
      <formula>4</formula>
    </cfRule>
  </conditionalFormatting>
  <conditionalFormatting sqref="AO3:AO24">
    <cfRule type="cellIs" priority="9" operator="greaterThan" aboveAverage="0" equalAverage="0" bottom="0" percent="0" rank="0" text="" dxfId="0">
      <formula>6</formula>
    </cfRule>
    <cfRule type="cellIs" priority="10" operator="between" aboveAverage="0" equalAverage="0" bottom="0" percent="0" rank="0" text="" dxfId="1">
      <formula>4</formula>
      <formula>6</formula>
    </cfRule>
    <cfRule type="cellIs" priority="11" operator="lessThan" aboveAverage="0" equalAverage="0" bottom="0" percent="0" rank="0" text="" dxfId="2">
      <formula>4</formula>
    </cfRule>
  </conditionalFormatting>
  <conditionalFormatting sqref="AK3:AK25">
    <cfRule type="cellIs" priority="12" operator="lessThan" aboveAverage="0" equalAverage="0" bottom="0" percent="0" rank="0" text="" dxfId="1">
      <formula>7</formula>
    </cfRule>
  </conditionalFormatting>
  <conditionalFormatting sqref="AQ8:AQ24">
    <cfRule type="cellIs" priority="13" operator="greaterThan" aboveAverage="0" equalAverage="0" bottom="0" percent="0" rank="0" text="" dxfId="9">
      <formula>3</formula>
    </cfRule>
    <cfRule type="cellIs" priority="14" operator="lessThan" aboveAverage="0" equalAverage="0" bottom="0" percent="0" rank="0" text="" dxfId="10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" activeCellId="0" sqref="G2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3" min="3" style="1" width="9.58"/>
    <col collapsed="false" customWidth="true" hidden="false" outlineLevel="0" max="16384" min="16361" style="1" width="10.58"/>
  </cols>
  <sheetData>
    <row r="1" customFormat="false" ht="15" hidden="false" customHeight="false" outlineLevel="0" collapsed="false">
      <c r="A1" s="1" t="s">
        <v>2</v>
      </c>
      <c r="B1" s="2" t="s">
        <v>4</v>
      </c>
      <c r="C1" s="3" t="n">
        <v>45737</v>
      </c>
      <c r="D1" s="3" t="n">
        <v>45919</v>
      </c>
      <c r="E1" s="3" t="n">
        <v>45954</v>
      </c>
      <c r="F1" s="3" t="n">
        <v>45961</v>
      </c>
      <c r="G1" s="2" t="s">
        <v>118</v>
      </c>
    </row>
    <row r="2" customFormat="false" ht="15" hidden="false" customHeight="false" outlineLevel="0" collapsed="false">
      <c r="A2" s="1" t="n">
        <v>1</v>
      </c>
      <c r="B2" s="2" t="s">
        <v>14</v>
      </c>
      <c r="C2" s="1" t="n">
        <v>3</v>
      </c>
      <c r="F2" s="1" t="n">
        <v>1</v>
      </c>
      <c r="G2" s="2" t="n">
        <f aca="false">SUM(D2:F2)</f>
        <v>1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n">
        <v>0</v>
      </c>
      <c r="D3" s="1" t="n">
        <v>1</v>
      </c>
      <c r="F3" s="1" t="n">
        <v>2</v>
      </c>
      <c r="G3" s="2" t="n">
        <f aca="false">SUM(D3:F3)</f>
        <v>3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n">
        <v>3</v>
      </c>
      <c r="G4" s="2" t="n">
        <f aca="false">SUM(D4:F4)</f>
        <v>0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n">
        <v>4</v>
      </c>
      <c r="F5" s="1" t="n">
        <v>1</v>
      </c>
      <c r="G5" s="2" t="n">
        <f aca="false">SUM(D5:F5)</f>
        <v>1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n">
        <v>0</v>
      </c>
      <c r="D6" s="1" t="n">
        <v>1</v>
      </c>
      <c r="G6" s="2" t="n">
        <f aca="false">SUM(D6:F6)</f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C7" s="1" t="n">
        <v>0</v>
      </c>
      <c r="D7" s="1" t="n">
        <v>1</v>
      </c>
      <c r="G7" s="2" t="n">
        <f aca="false">SUM(D7:F7)</f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n">
        <v>3</v>
      </c>
      <c r="D8" s="1" t="n">
        <v>1</v>
      </c>
      <c r="G8" s="2" t="n">
        <f aca="false">SUM(D8:F8)</f>
        <v>1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n">
        <v>4</v>
      </c>
      <c r="D9" s="1" t="n">
        <v>1</v>
      </c>
      <c r="F9" s="1" t="n">
        <v>1</v>
      </c>
      <c r="G9" s="2" t="n">
        <f aca="false">SUM(D9:F9)</f>
        <v>2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n">
        <v>3</v>
      </c>
      <c r="G10" s="2" t="n">
        <f aca="false">SUM(D10:F10)</f>
        <v>0</v>
      </c>
    </row>
    <row r="11" customFormat="false" ht="15" hidden="false" customHeight="false" outlineLevel="0" collapsed="false">
      <c r="A11" s="1" t="n">
        <v>10</v>
      </c>
      <c r="B11" s="2" t="s">
        <v>48</v>
      </c>
      <c r="C11" s="1" t="n">
        <v>3</v>
      </c>
      <c r="G11" s="2" t="n">
        <f aca="false">SUM(D11:F11)</f>
        <v>0</v>
      </c>
    </row>
    <row r="12" customFormat="false" ht="15" hidden="false" customHeight="false" outlineLevel="0" collapsed="false">
      <c r="A12" s="1" t="n">
        <v>11</v>
      </c>
      <c r="B12" s="2" t="s">
        <v>52</v>
      </c>
      <c r="C12" s="1" t="n">
        <v>3</v>
      </c>
      <c r="D12" s="1" t="n">
        <v>1</v>
      </c>
      <c r="F12" s="1" t="n">
        <v>1</v>
      </c>
      <c r="G12" s="2" t="n">
        <f aca="false">SUM(D12:F12)</f>
        <v>2</v>
      </c>
    </row>
    <row r="13" customFormat="false" ht="15" hidden="false" customHeight="false" outlineLevel="0" collapsed="false">
      <c r="A13" s="1" t="n">
        <v>12</v>
      </c>
      <c r="B13" s="2" t="s">
        <v>55</v>
      </c>
      <c r="C13" s="1" t="n">
        <v>0</v>
      </c>
      <c r="G13" s="2" t="n">
        <f aca="false">SUM(D13:F13)</f>
        <v>0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1" t="n">
        <v>3</v>
      </c>
      <c r="D14" s="1" t="n">
        <v>1</v>
      </c>
      <c r="F14" s="1" t="n">
        <v>1</v>
      </c>
      <c r="G14" s="2" t="n">
        <f aca="false">SUM(D14:F14)</f>
        <v>2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n">
        <v>3</v>
      </c>
      <c r="D15" s="1" t="n">
        <v>1</v>
      </c>
      <c r="F15" s="1" t="n">
        <v>1</v>
      </c>
      <c r="G15" s="2" t="n">
        <f aca="false">SUM(D15:F15)</f>
        <v>2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n">
        <v>3</v>
      </c>
      <c r="D16" s="1" t="n">
        <v>1</v>
      </c>
      <c r="G16" s="2" t="n">
        <f aca="false">SUM(D16:F16)</f>
        <v>1</v>
      </c>
    </row>
    <row r="17" customFormat="false" ht="15" hidden="false" customHeight="false" outlineLevel="0" collapsed="false">
      <c r="A17" s="1" t="n">
        <v>16</v>
      </c>
      <c r="B17" s="2" t="s">
        <v>67</v>
      </c>
      <c r="C17" s="1" t="n">
        <v>0</v>
      </c>
      <c r="G17" s="2" t="n">
        <f aca="false">SUM(D17:F17)</f>
        <v>0</v>
      </c>
    </row>
    <row r="18" customFormat="false" ht="15" hidden="false" customHeight="false" outlineLevel="0" collapsed="false">
      <c r="A18" s="1" t="n">
        <v>17</v>
      </c>
      <c r="B18" s="2" t="s">
        <v>70</v>
      </c>
      <c r="C18" s="1" t="n">
        <v>3</v>
      </c>
      <c r="F18" s="1" t="n">
        <v>1</v>
      </c>
      <c r="G18" s="2" t="n">
        <f aca="false">SUM(D18:F18)</f>
        <v>1</v>
      </c>
    </row>
    <row r="19" customFormat="false" ht="15" hidden="false" customHeight="false" outlineLevel="0" collapsed="false">
      <c r="A19" s="1" t="n">
        <v>18</v>
      </c>
      <c r="B19" s="2" t="s">
        <v>73</v>
      </c>
      <c r="C19" s="1" t="n">
        <v>0</v>
      </c>
      <c r="F19" s="1" t="n">
        <v>1</v>
      </c>
      <c r="G19" s="2" t="n">
        <f aca="false">SUM(D19:F19)</f>
        <v>1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n">
        <v>3</v>
      </c>
      <c r="G20" s="2" t="n">
        <f aca="false">SUM(D20:F20)</f>
        <v>0</v>
      </c>
    </row>
    <row r="21" customFormat="false" ht="15" hidden="false" customHeight="false" outlineLevel="0" collapsed="false">
      <c r="A21" s="1" t="n">
        <v>20</v>
      </c>
      <c r="B21" s="2" t="s">
        <v>80</v>
      </c>
      <c r="C21" s="1" t="n">
        <v>3</v>
      </c>
      <c r="F21" s="1" t="n">
        <v>1</v>
      </c>
      <c r="G21" s="2" t="n">
        <f aca="false">SUM(D21:F21)</f>
        <v>1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n">
        <v>3</v>
      </c>
      <c r="F22" s="1" t="n">
        <v>1</v>
      </c>
      <c r="G22" s="2" t="n">
        <f aca="false">SUM(D22:F22)</f>
        <v>1</v>
      </c>
    </row>
    <row r="23" customFormat="false" ht="15" hidden="false" customHeight="false" outlineLevel="0" collapsed="false">
      <c r="A23" s="1" t="n">
        <v>22</v>
      </c>
      <c r="B23" s="2" t="s">
        <v>86</v>
      </c>
      <c r="C23" s="1" t="n">
        <v>3</v>
      </c>
      <c r="G23" s="2" t="n">
        <f aca="false">SUM(D23:F23)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1.64"/>
  </cols>
  <sheetData>
    <row r="1" customFormat="false" ht="15" hidden="false" customHeight="false" outlineLevel="0" collapsed="false">
      <c r="C1" s="1" t="s">
        <v>4</v>
      </c>
      <c r="D1" s="1" t="s">
        <v>125</v>
      </c>
      <c r="E1" s="1" t="s">
        <v>126</v>
      </c>
      <c r="F1" s="1" t="s">
        <v>127</v>
      </c>
      <c r="G1" s="1" t="s">
        <v>102</v>
      </c>
      <c r="H1" s="1" t="s">
        <v>128</v>
      </c>
      <c r="I1" s="1" t="s">
        <v>129</v>
      </c>
    </row>
    <row r="2" customFormat="false" ht="15" hidden="false" customHeight="false" outlineLevel="0" collapsed="false">
      <c r="A2" s="1" t="n">
        <v>1</v>
      </c>
      <c r="B2" s="2" t="s">
        <v>14</v>
      </c>
      <c r="C2" s="1" t="s">
        <v>14</v>
      </c>
      <c r="D2" s="1" t="s">
        <v>130</v>
      </c>
      <c r="E2" s="1" t="s">
        <v>131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132</v>
      </c>
      <c r="E3" s="1" t="s">
        <v>133</v>
      </c>
      <c r="F3" s="1" t="n">
        <v>10</v>
      </c>
      <c r="I3" s="1" t="n">
        <v>10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134</v>
      </c>
      <c r="E4" s="1" t="s">
        <v>135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136</v>
      </c>
      <c r="E5" s="1" t="s">
        <v>137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138</v>
      </c>
      <c r="E8" s="1" t="s">
        <v>139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140</v>
      </c>
      <c r="E9" s="1" t="s">
        <v>141</v>
      </c>
      <c r="F9" s="1" t="n">
        <v>10</v>
      </c>
      <c r="G9" s="1" t="n">
        <f aca="false">AVERAGE(F9:F10)</f>
        <v>9</v>
      </c>
      <c r="H9" s="1" t="n">
        <v>8</v>
      </c>
      <c r="I9" s="1" t="n">
        <f aca="false">ROUND(MAX(H9,G9),0)</f>
        <v>9</v>
      </c>
    </row>
    <row r="10" customFormat="false" ht="15" hidden="false" customHeight="false" outlineLevel="0" collapsed="false">
      <c r="C10" s="1" t="s">
        <v>40</v>
      </c>
      <c r="D10" s="1" t="s">
        <v>142</v>
      </c>
      <c r="E10" s="1" t="s">
        <v>143</v>
      </c>
      <c r="F10" s="1" t="n">
        <v>8</v>
      </c>
    </row>
    <row r="11" customFormat="false" ht="15" hidden="false" customHeight="false" outlineLevel="0" collapsed="false">
      <c r="A11" s="1" t="n">
        <v>9</v>
      </c>
      <c r="B11" s="2" t="s">
        <v>45</v>
      </c>
      <c r="C11" s="1" t="s">
        <v>45</v>
      </c>
      <c r="D11" s="1" t="s">
        <v>134</v>
      </c>
      <c r="E11" s="1" t="s">
        <v>144</v>
      </c>
      <c r="F11" s="1" t="n">
        <v>10</v>
      </c>
      <c r="I11" s="1" t="n">
        <v>10</v>
      </c>
    </row>
    <row r="12" customFormat="false" ht="15" hidden="false" customHeight="false" outlineLevel="0" collapsed="false">
      <c r="A12" s="1" t="n">
        <v>10</v>
      </c>
      <c r="B12" s="2" t="s">
        <v>48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2" t="s">
        <v>52</v>
      </c>
      <c r="C13" s="1" t="s">
        <v>52</v>
      </c>
      <c r="D13" s="1" t="s">
        <v>145</v>
      </c>
      <c r="E13" s="1" t="s">
        <v>146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12</v>
      </c>
      <c r="B14" s="2" t="s">
        <v>55</v>
      </c>
      <c r="C14" s="1" t="s">
        <v>55</v>
      </c>
      <c r="D14" s="1" t="s">
        <v>147</v>
      </c>
      <c r="E14" s="1" t="s">
        <v>148</v>
      </c>
      <c r="F14" s="1" t="n">
        <v>7</v>
      </c>
      <c r="I14" s="1" t="n">
        <v>7</v>
      </c>
    </row>
    <row r="15" customFormat="false" ht="15" hidden="false" customHeight="false" outlineLevel="0" collapsed="false">
      <c r="A15" s="1" t="n">
        <v>13</v>
      </c>
      <c r="B15" s="2" t="s">
        <v>58</v>
      </c>
      <c r="C15" s="1" t="s">
        <v>58</v>
      </c>
      <c r="D15" s="1" t="s">
        <v>149</v>
      </c>
      <c r="E15" s="1" t="s">
        <v>150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14</v>
      </c>
      <c r="B16" s="2" t="s">
        <v>61</v>
      </c>
      <c r="C16" s="1" t="s">
        <v>61</v>
      </c>
      <c r="D16" s="1" t="s">
        <v>151</v>
      </c>
      <c r="E16" s="1" t="s">
        <v>152</v>
      </c>
      <c r="F16" s="1" t="n">
        <v>9</v>
      </c>
      <c r="I16" s="1" t="n">
        <v>9</v>
      </c>
    </row>
    <row r="17" customFormat="false" ht="15" hidden="false" customHeight="false" outlineLevel="0" collapsed="false">
      <c r="A17" s="1" t="n">
        <v>15</v>
      </c>
      <c r="B17" s="2" t="s">
        <v>64</v>
      </c>
      <c r="C17" s="1" t="s">
        <v>64</v>
      </c>
      <c r="D17" s="1" t="s">
        <v>153</v>
      </c>
      <c r="E17" s="1" t="s">
        <v>154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16</v>
      </c>
      <c r="B18" s="2" t="s">
        <v>67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17</v>
      </c>
      <c r="B19" s="2" t="s">
        <v>70</v>
      </c>
      <c r="C19" s="1" t="s">
        <v>70</v>
      </c>
      <c r="D19" s="1" t="s">
        <v>155</v>
      </c>
      <c r="E19" s="1" t="s">
        <v>156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18</v>
      </c>
      <c r="B20" s="2" t="s">
        <v>73</v>
      </c>
      <c r="C20" s="1" t="s">
        <v>73</v>
      </c>
      <c r="D20" s="1" t="s">
        <v>157</v>
      </c>
      <c r="E20" s="1" t="s">
        <v>158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19</v>
      </c>
      <c r="B21" s="2" t="s">
        <v>76</v>
      </c>
      <c r="C21" s="1" t="s">
        <v>76</v>
      </c>
      <c r="D21" s="1" t="s">
        <v>159</v>
      </c>
      <c r="E21" s="1" t="s">
        <v>160</v>
      </c>
      <c r="F21" s="1" t="n">
        <v>9</v>
      </c>
      <c r="I21" s="1" t="n">
        <v>9</v>
      </c>
    </row>
    <row r="22" customFormat="false" ht="15" hidden="false" customHeight="false" outlineLevel="0" collapsed="false">
      <c r="A22" s="1" t="n">
        <v>20</v>
      </c>
      <c r="B22" s="2" t="s">
        <v>80</v>
      </c>
      <c r="C22" s="1" t="s">
        <v>80</v>
      </c>
      <c r="D22" s="1" t="s">
        <v>161</v>
      </c>
      <c r="E22" s="1" t="s">
        <v>162</v>
      </c>
      <c r="F22" s="1" t="n">
        <v>10</v>
      </c>
      <c r="I22" s="1" t="n">
        <v>10</v>
      </c>
    </row>
    <row r="23" customFormat="false" ht="15" hidden="false" customHeight="false" outlineLevel="0" collapsed="false">
      <c r="A23" s="1" t="n">
        <v>21</v>
      </c>
      <c r="B23" s="2" t="s">
        <v>83</v>
      </c>
      <c r="C23" s="1" t="s">
        <v>83</v>
      </c>
      <c r="D23" s="1" t="s">
        <v>163</v>
      </c>
      <c r="E23" s="1" t="s">
        <v>164</v>
      </c>
      <c r="F23" s="1" t="n">
        <v>10</v>
      </c>
      <c r="G23" s="1" t="n">
        <f aca="false">AVERAGE(F23:F25)</f>
        <v>8.66666666666667</v>
      </c>
      <c r="H23" s="1" t="n">
        <v>9</v>
      </c>
      <c r="I23" s="1" t="n">
        <f aca="false">ROUND(MAX(H23,G23),0)</f>
        <v>9</v>
      </c>
    </row>
    <row r="24" customFormat="false" ht="15" hidden="false" customHeight="false" outlineLevel="0" collapsed="false">
      <c r="C24" s="1" t="s">
        <v>83</v>
      </c>
      <c r="D24" s="1" t="s">
        <v>165</v>
      </c>
      <c r="E24" s="1" t="s">
        <v>166</v>
      </c>
      <c r="F24" s="1" t="n">
        <v>9</v>
      </c>
    </row>
    <row r="25" customFormat="false" ht="15" hidden="false" customHeight="false" outlineLevel="0" collapsed="false">
      <c r="C25" s="1" t="s">
        <v>83</v>
      </c>
      <c r="D25" s="1" t="s">
        <v>142</v>
      </c>
      <c r="E25" s="1" t="s">
        <v>167</v>
      </c>
      <c r="F25" s="1" t="n">
        <v>7</v>
      </c>
    </row>
    <row r="26" customFormat="false" ht="15" hidden="false" customHeight="false" outlineLevel="0" collapsed="false">
      <c r="A26" s="1" t="n">
        <v>22</v>
      </c>
      <c r="B26" s="2" t="s">
        <v>86</v>
      </c>
      <c r="C26" s="1" t="s">
        <v>86</v>
      </c>
      <c r="D26" s="1" t="s">
        <v>168</v>
      </c>
      <c r="E26" s="1" t="s">
        <v>169</v>
      </c>
      <c r="F26" s="1" t="n">
        <v>10</v>
      </c>
      <c r="I26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8" activeCellId="0" sqref="B8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22.63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4</v>
      </c>
      <c r="B1" s="1" t="s">
        <v>125</v>
      </c>
      <c r="C1" s="1" t="s">
        <v>126</v>
      </c>
      <c r="D1" s="1" t="s">
        <v>170</v>
      </c>
    </row>
    <row r="2" customFormat="false" ht="15" hidden="false" customHeight="false" outlineLevel="0" collapsed="false">
      <c r="A2" s="1" t="s">
        <v>30</v>
      </c>
      <c r="B2" s="1" t="s">
        <v>171</v>
      </c>
      <c r="C2" s="1" t="s">
        <v>172</v>
      </c>
      <c r="D2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13.62"/>
  </cols>
  <sheetData>
    <row r="1" customFormat="false" ht="15" hidden="false" customHeight="false" outlineLevel="0" collapsed="false">
      <c r="C1" s="1" t="s">
        <v>4</v>
      </c>
      <c r="D1" s="1" t="s">
        <v>125</v>
      </c>
      <c r="E1" s="1" t="s">
        <v>126</v>
      </c>
      <c r="F1" s="1" t="s">
        <v>127</v>
      </c>
      <c r="G1" s="1" t="s">
        <v>102</v>
      </c>
      <c r="H1" s="1" t="s">
        <v>128</v>
      </c>
      <c r="I1" s="1" t="s">
        <v>129</v>
      </c>
    </row>
    <row r="2" customFormat="false" ht="15" hidden="false" customHeight="false" outlineLevel="0" collapsed="false">
      <c r="A2" s="1" t="n">
        <v>1</v>
      </c>
      <c r="B2" s="2" t="s">
        <v>14</v>
      </c>
      <c r="C2" s="1" t="s">
        <v>14</v>
      </c>
      <c r="D2" s="1" t="s">
        <v>173</v>
      </c>
      <c r="E2" s="1" t="s">
        <v>174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175</v>
      </c>
      <c r="E3" s="1" t="s">
        <v>176</v>
      </c>
      <c r="F3" s="1" t="n">
        <v>10</v>
      </c>
      <c r="I3" s="1" t="n">
        <v>10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177</v>
      </c>
      <c r="E4" s="1" t="s">
        <v>135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178</v>
      </c>
      <c r="E5" s="1" t="s">
        <v>179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180</v>
      </c>
      <c r="E8" s="1" t="s">
        <v>181</v>
      </c>
      <c r="F8" s="1" t="n">
        <v>9</v>
      </c>
      <c r="I8" s="1" t="n">
        <v>9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182</v>
      </c>
      <c r="E9" s="1" t="s">
        <v>183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184</v>
      </c>
      <c r="E10" s="1" t="s">
        <v>183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10</v>
      </c>
      <c r="B11" s="2" t="s">
        <v>48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2" t="s">
        <v>52</v>
      </c>
      <c r="C12" s="1" t="s">
        <v>52</v>
      </c>
      <c r="D12" s="1" t="s">
        <v>185</v>
      </c>
      <c r="E12" s="1" t="s">
        <v>186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12</v>
      </c>
      <c r="B13" s="2" t="s">
        <v>55</v>
      </c>
      <c r="C13" s="1" t="s">
        <v>55</v>
      </c>
      <c r="D13" s="1" t="s">
        <v>187</v>
      </c>
      <c r="E13" s="1" t="s">
        <v>188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13</v>
      </c>
      <c r="B14" s="2" t="s">
        <v>58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s">
        <v>61</v>
      </c>
      <c r="D15" s="1" t="s">
        <v>189</v>
      </c>
      <c r="E15" s="1" t="s">
        <v>190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s">
        <v>64</v>
      </c>
      <c r="D16" s="1" t="s">
        <v>191</v>
      </c>
      <c r="E16" s="1" t="s">
        <v>192</v>
      </c>
      <c r="F16" s="1" t="n">
        <v>10</v>
      </c>
      <c r="I16" s="1" t="n">
        <v>10</v>
      </c>
    </row>
    <row r="17" customFormat="false" ht="15" hidden="false" customHeight="false" outlineLevel="0" collapsed="false">
      <c r="A17" s="1" t="n">
        <v>16</v>
      </c>
      <c r="B17" s="2" t="s">
        <v>67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17</v>
      </c>
      <c r="B18" s="2" t="s">
        <v>70</v>
      </c>
      <c r="C18" s="1" t="s">
        <v>70</v>
      </c>
      <c r="D18" s="1" t="s">
        <v>193</v>
      </c>
      <c r="E18" s="1" t="s">
        <v>194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18</v>
      </c>
      <c r="B19" s="2" t="s">
        <v>73</v>
      </c>
      <c r="C19" s="1" t="s">
        <v>73</v>
      </c>
      <c r="D19" s="1" t="s">
        <v>195</v>
      </c>
      <c r="E19" s="1" t="s">
        <v>196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s">
        <v>76</v>
      </c>
      <c r="D20" s="1" t="s">
        <v>197</v>
      </c>
      <c r="E20" s="1" t="s">
        <v>198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20</v>
      </c>
      <c r="B21" s="2" t="s">
        <v>80</v>
      </c>
      <c r="C21" s="1" t="s">
        <v>80</v>
      </c>
      <c r="D21" s="1" t="s">
        <v>199</v>
      </c>
      <c r="E21" s="1" t="s">
        <v>200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s">
        <v>83</v>
      </c>
      <c r="D22" s="1" t="s">
        <v>201</v>
      </c>
      <c r="E22" s="1" t="s">
        <v>202</v>
      </c>
      <c r="F22" s="1" t="n">
        <v>10</v>
      </c>
      <c r="G22" s="1" t="n">
        <f aca="false">AVERAGE(F22:F26)</f>
        <v>7.6</v>
      </c>
      <c r="H22" s="1" t="n">
        <v>9</v>
      </c>
      <c r="I22" s="1" t="n">
        <f aca="false">ROUND(MAX(H22,G22),0)</f>
        <v>9</v>
      </c>
    </row>
    <row r="23" customFormat="false" ht="15" hidden="false" customHeight="false" outlineLevel="0" collapsed="false">
      <c r="C23" s="1" t="s">
        <v>83</v>
      </c>
      <c r="D23" s="1" t="s">
        <v>203</v>
      </c>
      <c r="E23" s="1" t="s">
        <v>204</v>
      </c>
      <c r="F23" s="1" t="n">
        <v>9</v>
      </c>
    </row>
    <row r="24" customFormat="false" ht="15" hidden="false" customHeight="false" outlineLevel="0" collapsed="false">
      <c r="C24" s="1" t="s">
        <v>83</v>
      </c>
      <c r="D24" s="1" t="s">
        <v>205</v>
      </c>
      <c r="E24" s="1" t="s">
        <v>206</v>
      </c>
      <c r="F24" s="1" t="n">
        <v>8</v>
      </c>
    </row>
    <row r="25" customFormat="false" ht="15" hidden="false" customHeight="false" outlineLevel="0" collapsed="false">
      <c r="C25" s="1" t="s">
        <v>83</v>
      </c>
      <c r="D25" s="1" t="s">
        <v>207</v>
      </c>
      <c r="E25" s="1" t="s">
        <v>208</v>
      </c>
      <c r="F25" s="1" t="n">
        <v>6</v>
      </c>
    </row>
    <row r="26" customFormat="false" ht="15" hidden="false" customHeight="false" outlineLevel="0" collapsed="false">
      <c r="C26" s="1" t="s">
        <v>83</v>
      </c>
      <c r="D26" s="1" t="s">
        <v>209</v>
      </c>
      <c r="E26" s="1" t="s">
        <v>210</v>
      </c>
      <c r="F26" s="1" t="n">
        <v>5</v>
      </c>
    </row>
    <row r="27" customFormat="false" ht="15" hidden="false" customHeight="false" outlineLevel="0" collapsed="false">
      <c r="A27" s="1" t="n">
        <v>22</v>
      </c>
      <c r="B27" s="2" t="s">
        <v>86</v>
      </c>
      <c r="C27" s="1" t="s">
        <v>86</v>
      </c>
      <c r="D27" s="1" t="s">
        <v>211</v>
      </c>
      <c r="E27" s="1" t="s">
        <v>212</v>
      </c>
      <c r="F27" s="1" t="n">
        <v>10</v>
      </c>
      <c r="I27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6" colorId="64" zoomScale="90" zoomScaleNormal="90" zoomScalePageLayoutView="100" workbookViewId="0">
      <selection pane="topLeft" activeCell="F2" activeCellId="0" sqref="F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</cols>
  <sheetData>
    <row r="1" customFormat="false" ht="15" hidden="false" customHeight="false" outlineLevel="0" collapsed="false">
      <c r="C1" s="1" t="s">
        <v>4</v>
      </c>
      <c r="D1" s="1" t="s">
        <v>125</v>
      </c>
      <c r="E1" s="1" t="s">
        <v>126</v>
      </c>
      <c r="F1" s="1" t="s">
        <v>127</v>
      </c>
    </row>
    <row r="2" customFormat="false" ht="15" hidden="false" customHeight="false" outlineLevel="0" collapsed="false">
      <c r="A2" s="1" t="n">
        <v>1</v>
      </c>
      <c r="B2" s="2" t="s">
        <v>14</v>
      </c>
      <c r="C2" s="1" t="s">
        <v>14</v>
      </c>
      <c r="D2" s="1" t="s">
        <v>213</v>
      </c>
      <c r="E2" s="1" t="s">
        <v>214</v>
      </c>
      <c r="F2" s="1" t="n">
        <v>7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215</v>
      </c>
      <c r="E3" s="1" t="s">
        <v>216</v>
      </c>
      <c r="F3" s="1" t="n">
        <v>10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217</v>
      </c>
      <c r="E4" s="1" t="s">
        <v>218</v>
      </c>
      <c r="F4" s="1" t="n">
        <v>9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219</v>
      </c>
      <c r="E5" s="1" t="s">
        <v>220</v>
      </c>
      <c r="F5" s="1" t="n">
        <v>10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221</v>
      </c>
      <c r="E8" s="1" t="s">
        <v>222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223</v>
      </c>
      <c r="E9" s="1" t="s">
        <v>224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225</v>
      </c>
      <c r="E10" s="1" t="s">
        <v>226</v>
      </c>
      <c r="F10" s="1" t="n">
        <v>8</v>
      </c>
    </row>
    <row r="11" customFormat="false" ht="15" hidden="false" customHeight="false" outlineLevel="0" collapsed="false">
      <c r="A11" s="1" t="n">
        <v>10</v>
      </c>
      <c r="B11" s="2" t="s">
        <v>48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2" t="s">
        <v>52</v>
      </c>
      <c r="C12" s="1" t="s">
        <v>52</v>
      </c>
      <c r="D12" s="1" t="s">
        <v>227</v>
      </c>
      <c r="E12" s="1" t="s">
        <v>228</v>
      </c>
      <c r="F12" s="1" t="n">
        <v>10</v>
      </c>
    </row>
    <row r="13" customFormat="false" ht="15" hidden="false" customHeight="false" outlineLevel="0" collapsed="false">
      <c r="A13" s="1" t="n">
        <v>12</v>
      </c>
      <c r="B13" s="2" t="s">
        <v>55</v>
      </c>
      <c r="C13" s="1" t="s">
        <v>55</v>
      </c>
      <c r="D13" s="1" t="s">
        <v>229</v>
      </c>
      <c r="E13" s="1" t="s">
        <v>230</v>
      </c>
      <c r="F13" s="1" t="n">
        <v>9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1" t="s">
        <v>58</v>
      </c>
      <c r="D14" s="1" t="s">
        <v>231</v>
      </c>
      <c r="E14" s="1" t="s">
        <v>232</v>
      </c>
      <c r="F14" s="1" t="n">
        <v>7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s">
        <v>61</v>
      </c>
      <c r="D15" s="1" t="s">
        <v>233</v>
      </c>
      <c r="E15" s="1" t="s">
        <v>234</v>
      </c>
      <c r="F15" s="1" t="n">
        <v>7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s">
        <v>64</v>
      </c>
      <c r="D16" s="1" t="s">
        <v>235</v>
      </c>
      <c r="E16" s="1" t="s">
        <v>236</v>
      </c>
      <c r="F16" s="1" t="n">
        <v>7</v>
      </c>
    </row>
    <row r="17" customFormat="false" ht="15" hidden="false" customHeight="false" outlineLevel="0" collapsed="false">
      <c r="A17" s="1" t="n">
        <v>16</v>
      </c>
      <c r="B17" s="2" t="s">
        <v>67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70</v>
      </c>
      <c r="C18" s="1" t="s">
        <v>70</v>
      </c>
      <c r="D18" s="1" t="s">
        <v>237</v>
      </c>
      <c r="E18" s="1" t="s">
        <v>238</v>
      </c>
      <c r="F18" s="1" t="n">
        <v>8</v>
      </c>
    </row>
    <row r="19" customFormat="false" ht="15" hidden="false" customHeight="false" outlineLevel="0" collapsed="false">
      <c r="A19" s="1" t="n">
        <v>18</v>
      </c>
      <c r="B19" s="2" t="s">
        <v>73</v>
      </c>
      <c r="C19" s="1" t="s">
        <v>73</v>
      </c>
      <c r="D19" s="1" t="s">
        <v>239</v>
      </c>
      <c r="E19" s="1" t="s">
        <v>240</v>
      </c>
      <c r="F19" s="1" t="n">
        <v>7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s">
        <v>76</v>
      </c>
      <c r="D20" s="1" t="s">
        <v>241</v>
      </c>
      <c r="E20" s="1" t="s">
        <v>242</v>
      </c>
      <c r="F20" s="1" t="n">
        <v>9</v>
      </c>
    </row>
    <row r="21" customFormat="false" ht="15" hidden="false" customHeight="false" outlineLevel="0" collapsed="false">
      <c r="A21" s="1" t="n">
        <v>20</v>
      </c>
      <c r="B21" s="2" t="s">
        <v>80</v>
      </c>
      <c r="C21" s="1" t="s">
        <v>80</v>
      </c>
      <c r="D21" s="1" t="s">
        <v>243</v>
      </c>
      <c r="E21" s="1" t="s">
        <v>244</v>
      </c>
      <c r="F21" s="1" t="n">
        <v>7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s">
        <v>83</v>
      </c>
      <c r="D22" s="1" t="s">
        <v>245</v>
      </c>
      <c r="E22" s="1" t="s">
        <v>246</v>
      </c>
      <c r="F22" s="1" t="n">
        <v>9</v>
      </c>
    </row>
    <row r="23" customFormat="false" ht="15" hidden="false" customHeight="false" outlineLevel="0" collapsed="false">
      <c r="A23" s="1" t="n">
        <v>22</v>
      </c>
      <c r="B23" s="2" t="s">
        <v>86</v>
      </c>
      <c r="C23" s="1" t="s">
        <v>86</v>
      </c>
      <c r="D23" s="1" t="s">
        <v>247</v>
      </c>
      <c r="E23" s="1" t="s">
        <v>248</v>
      </c>
      <c r="F23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8" colorId="64" zoomScale="90" zoomScaleNormal="90" zoomScalePageLayoutView="100" workbookViewId="0">
      <selection pane="topLeft" activeCell="F2" activeCellId="0" sqref="F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</cols>
  <sheetData>
    <row r="1" customFormat="false" ht="15" hidden="false" customHeight="false" outlineLevel="0" collapsed="false">
      <c r="C1" s="1" t="s">
        <v>4</v>
      </c>
      <c r="D1" s="1" t="s">
        <v>125</v>
      </c>
      <c r="E1" s="1" t="s">
        <v>126</v>
      </c>
      <c r="F1" s="1" t="s">
        <v>127</v>
      </c>
      <c r="G1" s="1" t="s">
        <v>102</v>
      </c>
      <c r="H1" s="1" t="s">
        <v>128</v>
      </c>
      <c r="I1" s="1" t="s">
        <v>129</v>
      </c>
    </row>
    <row r="2" customFormat="false" ht="15" hidden="false" customHeight="false" outlineLevel="0" collapsed="false">
      <c r="A2" s="1" t="n">
        <v>1</v>
      </c>
      <c r="B2" s="2" t="s">
        <v>14</v>
      </c>
      <c r="F2" s="1" t="n">
        <v>1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249</v>
      </c>
      <c r="E3" s="1" t="s">
        <v>250</v>
      </c>
      <c r="F3" s="1" t="n">
        <v>9</v>
      </c>
    </row>
    <row r="4" customFormat="false" ht="15" hidden="false" customHeight="false" outlineLevel="0" collapsed="false">
      <c r="A4" s="1" t="n">
        <v>3</v>
      </c>
      <c r="B4" s="2" t="s">
        <v>23</v>
      </c>
      <c r="F4" s="1" t="n">
        <v>1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251</v>
      </c>
      <c r="E5" s="1" t="s">
        <v>252</v>
      </c>
      <c r="F5" s="1" t="n">
        <v>9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253</v>
      </c>
      <c r="E8" s="1" t="s">
        <v>254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255</v>
      </c>
      <c r="E9" s="1" t="s">
        <v>256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257</v>
      </c>
      <c r="E10" s="1" t="s">
        <v>258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2" t="s">
        <v>48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2" t="s">
        <v>52</v>
      </c>
      <c r="C12" s="1" t="s">
        <v>52</v>
      </c>
      <c r="D12" s="1" t="s">
        <v>259</v>
      </c>
      <c r="E12" s="1" t="s">
        <v>260</v>
      </c>
      <c r="F12" s="1" t="n">
        <v>7</v>
      </c>
    </row>
    <row r="13" customFormat="false" ht="15" hidden="false" customHeight="false" outlineLevel="0" collapsed="false">
      <c r="A13" s="1" t="n">
        <v>12</v>
      </c>
      <c r="B13" s="2" t="s">
        <v>55</v>
      </c>
      <c r="C13" s="1" t="s">
        <v>55</v>
      </c>
      <c r="D13" s="1" t="s">
        <v>261</v>
      </c>
      <c r="E13" s="1" t="s">
        <v>262</v>
      </c>
      <c r="F13" s="1" t="n">
        <v>7</v>
      </c>
    </row>
    <row r="14" customFormat="false" ht="15" hidden="false" customHeight="false" outlineLevel="0" collapsed="false">
      <c r="A14" s="1" t="n">
        <v>13</v>
      </c>
      <c r="B14" s="2" t="s">
        <v>58</v>
      </c>
      <c r="F14" s="1" t="n">
        <v>1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s">
        <v>61</v>
      </c>
      <c r="D15" s="1" t="s">
        <v>263</v>
      </c>
      <c r="E15" s="1" t="s">
        <v>264</v>
      </c>
      <c r="F15" s="1" t="n">
        <v>7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s">
        <v>64</v>
      </c>
      <c r="D16" s="1" t="s">
        <v>265</v>
      </c>
      <c r="E16" s="1" t="s">
        <v>266</v>
      </c>
      <c r="F16" s="1" t="n">
        <v>1</v>
      </c>
    </row>
    <row r="17" customFormat="false" ht="15" hidden="false" customHeight="false" outlineLevel="0" collapsed="false">
      <c r="A17" s="1" t="n">
        <v>16</v>
      </c>
      <c r="B17" s="2" t="s">
        <v>67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70</v>
      </c>
      <c r="F18" s="1" t="n">
        <v>1</v>
      </c>
    </row>
    <row r="19" customFormat="false" ht="15" hidden="false" customHeight="false" outlineLevel="0" collapsed="false">
      <c r="A19" s="1" t="n">
        <v>18</v>
      </c>
      <c r="B19" s="2" t="s">
        <v>73</v>
      </c>
      <c r="F19" s="1" t="n">
        <v>1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s">
        <v>76</v>
      </c>
      <c r="D20" s="1" t="s">
        <v>267</v>
      </c>
      <c r="E20" s="1" t="s">
        <v>268</v>
      </c>
      <c r="F20" s="1" t="n">
        <v>1</v>
      </c>
    </row>
    <row r="21" customFormat="false" ht="15" hidden="false" customHeight="false" outlineLevel="0" collapsed="false">
      <c r="A21" s="1" t="n">
        <v>20</v>
      </c>
      <c r="B21" s="2" t="s">
        <v>80</v>
      </c>
      <c r="F21" s="1" t="n">
        <v>1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s">
        <v>83</v>
      </c>
      <c r="D22" s="1" t="s">
        <v>269</v>
      </c>
      <c r="E22" s="1" t="s">
        <v>270</v>
      </c>
      <c r="F22" s="1" t="n">
        <v>10</v>
      </c>
    </row>
    <row r="23" customFormat="false" ht="15" hidden="false" customHeight="false" outlineLevel="0" collapsed="false">
      <c r="C23" s="1" t="s">
        <v>83</v>
      </c>
      <c r="D23" s="1" t="s">
        <v>271</v>
      </c>
      <c r="E23" s="1" t="s">
        <v>272</v>
      </c>
      <c r="F23" s="1" t="n">
        <v>6</v>
      </c>
    </row>
    <row r="24" customFormat="false" ht="15" hidden="false" customHeight="false" outlineLevel="0" collapsed="false">
      <c r="A24" s="1" t="n">
        <v>22</v>
      </c>
      <c r="B24" s="2" t="s">
        <v>86</v>
      </c>
      <c r="F24" s="1" t="n">
        <v>1</v>
      </c>
    </row>
    <row r="25" customFormat="false" ht="15" hidden="false" customHeight="false" outlineLevel="0" collapsed="false">
      <c r="F2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3" activeCellId="0" sqref="G13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22.56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4</v>
      </c>
      <c r="B1" s="1" t="s">
        <v>125</v>
      </c>
      <c r="C1" s="1" t="s">
        <v>126</v>
      </c>
      <c r="D1" s="1" t="s">
        <v>170</v>
      </c>
      <c r="E1" s="1" t="s">
        <v>102</v>
      </c>
      <c r="F1" s="1" t="s">
        <v>128</v>
      </c>
      <c r="G1" s="1" t="s">
        <v>129</v>
      </c>
    </row>
    <row r="2" customFormat="false" ht="15" hidden="false" customHeight="false" outlineLevel="0" collapsed="false">
      <c r="A2" s="1" t="s">
        <v>14</v>
      </c>
      <c r="B2" s="1" t="s">
        <v>273</v>
      </c>
      <c r="C2" s="1" t="s">
        <v>274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s">
        <v>23</v>
      </c>
      <c r="B3" s="1" t="s">
        <v>275</v>
      </c>
      <c r="C3" s="1" t="s">
        <v>276</v>
      </c>
      <c r="D3" s="1" t="n">
        <v>9</v>
      </c>
      <c r="G3" s="1" t="n">
        <v>9</v>
      </c>
    </row>
    <row r="4" customFormat="false" ht="15" hidden="false" customHeight="false" outlineLevel="0" collapsed="false">
      <c r="A4" s="1" t="s">
        <v>33</v>
      </c>
      <c r="B4" s="1" t="s">
        <v>277</v>
      </c>
      <c r="C4" s="1" t="s">
        <v>278</v>
      </c>
      <c r="D4" s="1" t="n">
        <v>6</v>
      </c>
      <c r="E4" s="1" t="n">
        <f aca="false">AVERAGE(D4:D10)</f>
        <v>4.71428571428571</v>
      </c>
      <c r="F4" s="1" t="n">
        <v>5</v>
      </c>
      <c r="G4" s="1" t="n">
        <f aca="false">ROUND(MAX(F4,E4),0)</f>
        <v>5</v>
      </c>
    </row>
    <row r="5" customFormat="false" ht="15" hidden="false" customHeight="false" outlineLevel="0" collapsed="false">
      <c r="A5" s="1" t="s">
        <v>33</v>
      </c>
      <c r="B5" s="1" t="s">
        <v>279</v>
      </c>
      <c r="C5" s="1" t="s">
        <v>280</v>
      </c>
      <c r="D5" s="1" t="n">
        <v>5</v>
      </c>
    </row>
    <row r="6" customFormat="false" ht="15" hidden="false" customHeight="false" outlineLevel="0" collapsed="false">
      <c r="A6" s="1" t="s">
        <v>33</v>
      </c>
      <c r="B6" s="1" t="s">
        <v>281</v>
      </c>
      <c r="C6" s="1" t="s">
        <v>282</v>
      </c>
      <c r="D6" s="1" t="n">
        <v>5</v>
      </c>
    </row>
    <row r="7" customFormat="false" ht="15" hidden="false" customHeight="false" outlineLevel="0" collapsed="false">
      <c r="A7" s="1" t="s">
        <v>33</v>
      </c>
      <c r="B7" s="1" t="s">
        <v>283</v>
      </c>
      <c r="C7" s="1" t="s">
        <v>284</v>
      </c>
      <c r="D7" s="1" t="n">
        <v>5</v>
      </c>
    </row>
    <row r="8" customFormat="false" ht="15" hidden="false" customHeight="false" outlineLevel="0" collapsed="false">
      <c r="A8" s="1" t="s">
        <v>33</v>
      </c>
      <c r="B8" s="1" t="s">
        <v>285</v>
      </c>
      <c r="C8" s="1" t="s">
        <v>286</v>
      </c>
      <c r="D8" s="1" t="n">
        <v>5</v>
      </c>
    </row>
    <row r="9" customFormat="false" ht="15" hidden="false" customHeight="false" outlineLevel="0" collapsed="false">
      <c r="A9" s="1" t="s">
        <v>33</v>
      </c>
      <c r="B9" s="1" t="s">
        <v>287</v>
      </c>
      <c r="C9" s="1" t="s">
        <v>284</v>
      </c>
      <c r="D9" s="1" t="n">
        <v>4</v>
      </c>
    </row>
    <row r="10" customFormat="false" ht="15" hidden="false" customHeight="false" outlineLevel="0" collapsed="false">
      <c r="A10" s="1" t="s">
        <v>33</v>
      </c>
      <c r="B10" s="1" t="s">
        <v>288</v>
      </c>
      <c r="C10" s="1" t="s">
        <v>289</v>
      </c>
      <c r="D10" s="1" t="n">
        <v>3</v>
      </c>
    </row>
    <row r="11" customFormat="false" ht="15" hidden="false" customHeight="false" outlineLevel="0" collapsed="false">
      <c r="A11" s="1" t="s">
        <v>64</v>
      </c>
      <c r="B11" s="1" t="s">
        <v>290</v>
      </c>
      <c r="C11" s="1" t="s">
        <v>291</v>
      </c>
      <c r="D11" s="1" t="n">
        <v>7</v>
      </c>
      <c r="G11" s="1" t="n">
        <v>7</v>
      </c>
    </row>
    <row r="12" customFormat="false" ht="15" hidden="false" customHeight="false" outlineLevel="0" collapsed="false">
      <c r="A12" s="1" t="s">
        <v>70</v>
      </c>
      <c r="B12" s="1" t="s">
        <v>281</v>
      </c>
      <c r="C12" s="1" t="s">
        <v>292</v>
      </c>
      <c r="D12" s="1" t="n">
        <v>6</v>
      </c>
      <c r="G12" s="1" t="n">
        <v>6</v>
      </c>
    </row>
    <row r="13" customFormat="false" ht="15" hidden="false" customHeight="false" outlineLevel="0" collapsed="false">
      <c r="A13" s="1" t="s">
        <v>80</v>
      </c>
      <c r="B13" s="1" t="s">
        <v>293</v>
      </c>
      <c r="C13" s="1" t="s">
        <v>172</v>
      </c>
      <c r="D13" s="1" t="n">
        <v>5</v>
      </c>
      <c r="G13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I27" activeCellId="0" sqref="I27"/>
    </sheetView>
  </sheetViews>
  <sheetFormatPr defaultColWidth="9.44921875" defaultRowHeight="12.8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18.04"/>
    <col collapsed="false" customWidth="true" hidden="false" outlineLevel="0" max="4" min="4" style="1" width="16.35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126</v>
      </c>
      <c r="F1" s="1" t="s">
        <v>127</v>
      </c>
      <c r="G1" s="1" t="s">
        <v>102</v>
      </c>
      <c r="H1" s="1" t="s">
        <v>128</v>
      </c>
      <c r="I1" s="1" t="s">
        <v>129</v>
      </c>
    </row>
    <row r="2" customFormat="false" ht="15" hidden="false" customHeight="false" outlineLevel="0" collapsed="false">
      <c r="A2" s="1" t="n">
        <v>1</v>
      </c>
      <c r="B2" s="2" t="s">
        <v>14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19</v>
      </c>
      <c r="E3" s="1" t="s">
        <v>294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2" t="s">
        <v>23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25</v>
      </c>
      <c r="E5" s="1" t="s">
        <v>295</v>
      </c>
      <c r="F5" s="1" t="n">
        <v>8</v>
      </c>
      <c r="I5" s="1" t="n">
        <v>8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35</v>
      </c>
      <c r="E8" s="1" t="s">
        <v>296</v>
      </c>
      <c r="F8" s="1" t="n">
        <v>6</v>
      </c>
      <c r="I8" s="1" t="n">
        <v>6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39</v>
      </c>
      <c r="E9" s="1" t="s">
        <v>297</v>
      </c>
      <c r="F9" s="1" t="n">
        <v>10</v>
      </c>
      <c r="G9" s="1" t="n">
        <f aca="false">AVERAGE(F9:F10)</f>
        <v>9.5</v>
      </c>
      <c r="H9" s="1" t="n">
        <v>9</v>
      </c>
      <c r="I9" s="1" t="n">
        <f aca="false">ROUND(MAX(H9,G9),0)</f>
        <v>10</v>
      </c>
    </row>
    <row r="10" customFormat="false" ht="15" hidden="false" customHeight="false" outlineLevel="0" collapsed="false">
      <c r="C10" s="1" t="s">
        <v>40</v>
      </c>
      <c r="D10" s="1" t="s">
        <v>39</v>
      </c>
      <c r="E10" s="1" t="s">
        <v>256</v>
      </c>
      <c r="F10" s="1" t="n">
        <v>9</v>
      </c>
    </row>
    <row r="11" customFormat="false" ht="15" hidden="false" customHeight="false" outlineLevel="0" collapsed="false">
      <c r="A11" s="1" t="n">
        <v>9</v>
      </c>
      <c r="B11" s="2" t="s">
        <v>45</v>
      </c>
      <c r="C11" s="1" t="s">
        <v>45</v>
      </c>
      <c r="D11" s="1" t="s">
        <v>44</v>
      </c>
      <c r="E11" s="1" t="s">
        <v>298</v>
      </c>
      <c r="F11" s="1" t="n">
        <v>7</v>
      </c>
      <c r="G11" s="1" t="n">
        <f aca="false">AVERAGE(F11:F12)</f>
        <v>6.5</v>
      </c>
      <c r="H11" s="1" t="n">
        <v>6</v>
      </c>
      <c r="I11" s="1" t="n">
        <f aca="false">ROUND(MAX(H11,G11),0)</f>
        <v>7</v>
      </c>
    </row>
    <row r="12" customFormat="false" ht="15" hidden="false" customHeight="false" outlineLevel="0" collapsed="false">
      <c r="C12" s="1" t="s">
        <v>45</v>
      </c>
      <c r="D12" s="1" t="s">
        <v>44</v>
      </c>
      <c r="E12" s="1" t="s">
        <v>299</v>
      </c>
      <c r="F12" s="1" t="n">
        <v>6</v>
      </c>
    </row>
    <row r="13" customFormat="false" ht="15" hidden="false" customHeight="false" outlineLevel="0" collapsed="false">
      <c r="A13" s="1" t="n">
        <v>10</v>
      </c>
      <c r="B13" s="2" t="s">
        <v>48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11</v>
      </c>
      <c r="B14" s="2" t="s">
        <v>52</v>
      </c>
      <c r="C14" s="1" t="s">
        <v>52</v>
      </c>
      <c r="D14" s="1" t="s">
        <v>51</v>
      </c>
      <c r="E14" s="1" t="s">
        <v>300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12</v>
      </c>
      <c r="B15" s="2" t="s">
        <v>55</v>
      </c>
      <c r="C15" s="1" t="s">
        <v>55</v>
      </c>
      <c r="D15" s="1" t="s">
        <v>54</v>
      </c>
      <c r="E15" s="1" t="s">
        <v>301</v>
      </c>
      <c r="F15" s="1" t="n">
        <v>9</v>
      </c>
      <c r="I15" s="1" t="n">
        <v>9</v>
      </c>
    </row>
    <row r="16" customFormat="false" ht="15" hidden="false" customHeight="false" outlineLevel="0" collapsed="false">
      <c r="A16" s="1" t="n">
        <v>13</v>
      </c>
      <c r="B16" s="2" t="s">
        <v>58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14</v>
      </c>
      <c r="B17" s="2" t="s">
        <v>61</v>
      </c>
      <c r="C17" s="1" t="s">
        <v>61</v>
      </c>
      <c r="D17" s="1" t="s">
        <v>60</v>
      </c>
      <c r="E17" s="1" t="s">
        <v>302</v>
      </c>
      <c r="F17" s="1" t="n">
        <v>6</v>
      </c>
      <c r="I17" s="1" t="n">
        <v>6</v>
      </c>
    </row>
    <row r="18" customFormat="false" ht="15" hidden="false" customHeight="false" outlineLevel="0" collapsed="false">
      <c r="A18" s="1" t="n">
        <v>15</v>
      </c>
      <c r="B18" s="2" t="s">
        <v>64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16</v>
      </c>
      <c r="B19" s="2" t="s">
        <v>67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17</v>
      </c>
      <c r="B20" s="2" t="s">
        <v>70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18</v>
      </c>
      <c r="B21" s="2" t="s">
        <v>73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19</v>
      </c>
      <c r="B22" s="2" t="s">
        <v>76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20</v>
      </c>
      <c r="B23" s="2" t="s">
        <v>80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21</v>
      </c>
      <c r="B24" s="2" t="s">
        <v>83</v>
      </c>
      <c r="C24" s="1" t="s">
        <v>83</v>
      </c>
      <c r="D24" s="1" t="s">
        <v>82</v>
      </c>
      <c r="E24" s="1" t="s">
        <v>303</v>
      </c>
      <c r="F24" s="1" t="n">
        <v>7</v>
      </c>
      <c r="G24" s="1" t="n">
        <f aca="false">AVERAGE(F24:F26)</f>
        <v>5.66666666666667</v>
      </c>
      <c r="H24" s="1" t="n">
        <v>5</v>
      </c>
      <c r="I24" s="1" t="n">
        <f aca="false">ROUND(MAX(H24,G24),0)</f>
        <v>6</v>
      </c>
    </row>
    <row r="25" customFormat="false" ht="15" hidden="false" customHeight="false" outlineLevel="0" collapsed="false">
      <c r="C25" s="1" t="s">
        <v>83</v>
      </c>
      <c r="D25" s="1" t="s">
        <v>82</v>
      </c>
      <c r="E25" s="1" t="s">
        <v>304</v>
      </c>
      <c r="F25" s="1" t="n">
        <v>5</v>
      </c>
    </row>
    <row r="26" customFormat="false" ht="15" hidden="false" customHeight="false" outlineLevel="0" collapsed="false">
      <c r="C26" s="1" t="s">
        <v>83</v>
      </c>
      <c r="D26" s="1" t="s">
        <v>82</v>
      </c>
      <c r="E26" s="1" t="s">
        <v>305</v>
      </c>
      <c r="F26" s="1" t="n">
        <v>5</v>
      </c>
    </row>
    <row r="27" customFormat="false" ht="15" hidden="false" customHeight="false" outlineLevel="0" collapsed="false">
      <c r="A27" s="1" t="n">
        <v>22</v>
      </c>
      <c r="B27" s="2" t="s">
        <v>86</v>
      </c>
      <c r="F27" s="1" t="n">
        <v>1</v>
      </c>
      <c r="I27" s="1" t="n">
        <v>1</v>
      </c>
    </row>
    <row r="28" customFormat="false" ht="15" hidden="false" customHeight="false" outlineLevel="0" collapsed="false">
      <c r="G28" s="1" t="s">
        <v>0</v>
      </c>
      <c r="I28" s="1" t="n">
        <f aca="false">COUNTIF(I2:I27,"&gt;0")</f>
        <v>22</v>
      </c>
    </row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9.44921875" defaultRowHeight="12.8" zeroHeight="false" outlineLevelRow="0" outlineLevelCol="0"/>
  <cols>
    <col collapsed="false" customWidth="true" hidden="false" outlineLevel="0" max="1" min="1" style="1" width="3.32"/>
    <col collapsed="false" customWidth="true" hidden="false" outlineLevel="0" max="4" min="2" style="1" width="20.2"/>
    <col collapsed="false" customWidth="true" hidden="false" outlineLevel="0" max="5" min="5" style="1" width="21.95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126</v>
      </c>
      <c r="F1" s="1" t="s">
        <v>127</v>
      </c>
    </row>
    <row r="2" customFormat="false" ht="15" hidden="false" customHeight="false" outlineLevel="0" collapsed="false">
      <c r="A2" s="1" t="n">
        <v>1</v>
      </c>
      <c r="B2" s="2" t="s">
        <v>14</v>
      </c>
      <c r="C2" s="1" t="s">
        <v>14</v>
      </c>
      <c r="D2" s="1" t="s">
        <v>13</v>
      </c>
      <c r="E2" s="1" t="s">
        <v>306</v>
      </c>
      <c r="F2" s="1" t="n">
        <v>8.5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19</v>
      </c>
      <c r="E3" s="1" t="s">
        <v>307</v>
      </c>
      <c r="F3" s="1" t="n">
        <v>7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22</v>
      </c>
      <c r="E4" s="1" t="s">
        <v>308</v>
      </c>
      <c r="F4" s="1" t="n">
        <v>9</v>
      </c>
    </row>
    <row r="5" customFormat="false" ht="15" hidden="false" customHeight="false" outlineLevel="0" collapsed="false">
      <c r="A5" s="1" t="n">
        <v>4</v>
      </c>
      <c r="B5" s="2" t="s">
        <v>26</v>
      </c>
      <c r="C5" s="1" t="s">
        <v>26</v>
      </c>
      <c r="D5" s="1" t="s">
        <v>25</v>
      </c>
      <c r="E5" s="1" t="s">
        <v>309</v>
      </c>
      <c r="F5" s="1" t="n">
        <v>9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C7" s="1" t="s">
        <v>33</v>
      </c>
      <c r="D7" s="1" t="s">
        <v>32</v>
      </c>
      <c r="E7" s="1" t="s">
        <v>310</v>
      </c>
      <c r="F7" s="1" t="n">
        <v>10</v>
      </c>
    </row>
    <row r="8" customFormat="false" ht="15" hidden="false" customHeight="false" outlineLevel="0" collapsed="false">
      <c r="A8" s="1" t="n">
        <v>7</v>
      </c>
      <c r="B8" s="2" t="s">
        <v>36</v>
      </c>
      <c r="C8" s="1" t="s">
        <v>36</v>
      </c>
      <c r="D8" s="1" t="s">
        <v>35</v>
      </c>
      <c r="E8" s="1" t="s">
        <v>311</v>
      </c>
      <c r="F8" s="1" t="n">
        <v>8.75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39</v>
      </c>
      <c r="E9" s="1" t="s">
        <v>312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44</v>
      </c>
      <c r="E10" s="1" t="s">
        <v>313</v>
      </c>
      <c r="F10" s="1" t="n">
        <v>8.75</v>
      </c>
    </row>
    <row r="11" customFormat="false" ht="15" hidden="false" customHeight="false" outlineLevel="0" collapsed="false">
      <c r="A11" s="1" t="n">
        <v>10</v>
      </c>
      <c r="B11" s="2" t="s">
        <v>48</v>
      </c>
      <c r="C11" s="1" t="s">
        <v>48</v>
      </c>
      <c r="D11" s="1" t="s">
        <v>47</v>
      </c>
      <c r="E11" s="1" t="s">
        <v>314</v>
      </c>
      <c r="F11" s="1" t="n">
        <v>8.25</v>
      </c>
    </row>
    <row r="12" customFormat="false" ht="15" hidden="false" customHeight="false" outlineLevel="0" collapsed="false">
      <c r="A12" s="1" t="n">
        <v>11</v>
      </c>
      <c r="B12" s="2" t="s">
        <v>52</v>
      </c>
      <c r="C12" s="1" t="s">
        <v>52</v>
      </c>
      <c r="D12" s="1" t="s">
        <v>51</v>
      </c>
      <c r="E12" s="1" t="s">
        <v>315</v>
      </c>
      <c r="F12" s="1" t="n">
        <v>8.75</v>
      </c>
    </row>
    <row r="13" customFormat="false" ht="15" hidden="false" customHeight="false" outlineLevel="0" collapsed="false">
      <c r="A13" s="1" t="n">
        <v>12</v>
      </c>
      <c r="B13" s="2" t="s">
        <v>55</v>
      </c>
      <c r="C13" s="1" t="s">
        <v>55</v>
      </c>
      <c r="D13" s="1" t="s">
        <v>54</v>
      </c>
      <c r="E13" s="1" t="s">
        <v>316</v>
      </c>
      <c r="F13" s="1" t="n">
        <v>9.5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1" t="s">
        <v>58</v>
      </c>
      <c r="D14" s="1" t="s">
        <v>57</v>
      </c>
      <c r="E14" s="1" t="s">
        <v>317</v>
      </c>
      <c r="F14" s="1" t="n">
        <v>7.25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s">
        <v>61</v>
      </c>
      <c r="D15" s="1" t="s">
        <v>60</v>
      </c>
      <c r="E15" s="1" t="s">
        <v>318</v>
      </c>
      <c r="F15" s="1" t="n">
        <v>9.25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s">
        <v>64</v>
      </c>
      <c r="D16" s="1" t="s">
        <v>63</v>
      </c>
      <c r="E16" s="1" t="s">
        <v>319</v>
      </c>
      <c r="F16" s="1" t="n">
        <v>7.25</v>
      </c>
    </row>
    <row r="17" customFormat="false" ht="15" hidden="false" customHeight="false" outlineLevel="0" collapsed="false">
      <c r="A17" s="1" t="n">
        <v>16</v>
      </c>
      <c r="B17" s="2" t="s">
        <v>67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70</v>
      </c>
      <c r="C18" s="1" t="s">
        <v>70</v>
      </c>
      <c r="D18" s="1" t="s">
        <v>69</v>
      </c>
      <c r="E18" s="1" t="s">
        <v>320</v>
      </c>
      <c r="F18" s="1" t="n">
        <v>9</v>
      </c>
    </row>
    <row r="19" customFormat="false" ht="15" hidden="false" customHeight="false" outlineLevel="0" collapsed="false">
      <c r="A19" s="1" t="n">
        <v>18</v>
      </c>
      <c r="B19" s="2" t="s">
        <v>73</v>
      </c>
      <c r="C19" s="1" t="s">
        <v>73</v>
      </c>
      <c r="D19" s="1" t="s">
        <v>72</v>
      </c>
      <c r="E19" s="1" t="s">
        <v>321</v>
      </c>
      <c r="F19" s="1" t="n">
        <v>8.5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s">
        <v>76</v>
      </c>
      <c r="D20" s="1" t="s">
        <v>75</v>
      </c>
      <c r="E20" s="1" t="s">
        <v>322</v>
      </c>
      <c r="F20" s="1" t="n">
        <v>8.5</v>
      </c>
    </row>
    <row r="21" customFormat="false" ht="15" hidden="false" customHeight="false" outlineLevel="0" collapsed="false">
      <c r="A21" s="1" t="n">
        <v>20</v>
      </c>
      <c r="B21" s="2" t="s">
        <v>80</v>
      </c>
      <c r="C21" s="1" t="s">
        <v>80</v>
      </c>
      <c r="D21" s="1" t="s">
        <v>79</v>
      </c>
      <c r="E21" s="1" t="s">
        <v>323</v>
      </c>
      <c r="F21" s="1" t="n">
        <v>9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s">
        <v>83</v>
      </c>
      <c r="D22" s="1" t="s">
        <v>82</v>
      </c>
      <c r="E22" s="1" t="s">
        <v>324</v>
      </c>
      <c r="F22" s="1" t="n">
        <v>9.25</v>
      </c>
    </row>
    <row r="23" customFormat="false" ht="15" hidden="false" customHeight="false" outlineLevel="0" collapsed="false">
      <c r="A23" s="1" t="n">
        <v>22</v>
      </c>
      <c r="B23" s="2" t="s">
        <v>86</v>
      </c>
      <c r="C23" s="1" t="s">
        <v>86</v>
      </c>
      <c r="D23" s="1" t="s">
        <v>85</v>
      </c>
      <c r="E23" s="1" t="s">
        <v>325</v>
      </c>
      <c r="F23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2026-02-27T15:23:16Z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