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positivos" sheetId="3" state="visible" r:id="rId5"/>
    <sheet name="1-volt Amp" sheetId="4" state="visible" r:id="rId6"/>
    <sheet name="2-volt multi" sheetId="5" state="visible" r:id="rId7"/>
    <sheet name="3-amp multi" sheetId="6" state="visible" r:id="rId8"/>
    <sheet name="1-Recup" sheetId="7" state="visible" r:id="rId9"/>
    <sheet name="2-recup" sheetId="8" state="visible" r:id="rId10"/>
    <sheet name="3-recup" sheetId="9" state="visible" r:id="rId11"/>
    <sheet name="Thevenin- positivos" sheetId="10" state="visible" r:id="rId12"/>
    <sheet name="4-ata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<sst xmlns="http://schemas.openxmlformats.org/spreadsheetml/2006/main" count="1312" uniqueCount="342">
  <si>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</si>
  <si>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</si>
  <si>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</si>
  <si>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</si>
  <si>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</si>
  <si>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pbs</t>
  </si>
  <si>
    <t xml:space="preserve">presentes</t>
  </si>
  <si>
    <t xml:space="preserve">medio</t>
  </si>
  <si>
    <t xml:space="preserve">tarde</t>
  </si>
  <si>
    <t xml:space="preserve">total prese</t>
  </si>
  <si>
    <t xml:space="preserve">notas pretente</t>
  </si>
  <si>
    <t xml:space="preserve">chorioco</t>
  </si>
  <si>
    <t xml:space="preserve">media</t>
  </si>
  <si>
    <t xml:space="preserve">nota</t>
  </si>
  <si>
    <t xml:space="preserve">Lautaro Agustin</t>
  </si>
  <si>
    <t xml:space="preserve">Agasi</t>
  </si>
  <si>
    <t xml:space="preserve">lautyagasi808@gmail.com</t>
  </si>
  <si>
    <t xml:space="preserve">P</t>
  </si>
  <si>
    <t xml:space="preserve">heli</t>
  </si>
  <si>
    <t xml:space="preserve">A</t>
  </si>
  <si>
    <t xml:space="preserve">si</t>
  </si>
  <si>
    <t xml:space="preserve">Thaiel Omar</t>
  </si>
  <si>
    <t xml:space="preserve">ANGELES</t>
  </si>
  <si>
    <t xml:space="preserve">thaielomar44@gmail.com</t>
  </si>
  <si>
    <t xml:space="preserve">Franco Tomas</t>
  </si>
  <si>
    <t xml:space="preserve">BARRERA</t>
  </si>
  <si>
    <t xml:space="preserve">48373431@gmail.com</t>
  </si>
  <si>
    <t xml:space="preserve">p</t>
  </si>
  <si>
    <t xml:space="preserve">Julian Gabriel</t>
  </si>
  <si>
    <t xml:space="preserve">BATTAGLIA</t>
  </si>
  <si>
    <t xml:space="preserve">48702442@gmail.com</t>
  </si>
  <si>
    <t xml:space="preserve">Rodrigo Jesus</t>
  </si>
  <si>
    <t xml:space="preserve">Bernal</t>
  </si>
  <si>
    <t xml:space="preserve">rodribernalel10@gmail.com</t>
  </si>
  <si>
    <t xml:space="preserve">Yoel Santiago</t>
  </si>
  <si>
    <t xml:space="preserve">Caballero</t>
  </si>
  <si>
    <t xml:space="preserve">yoecaballero@hotmail.com</t>
  </si>
  <si>
    <t xml:space="preserve">Recursante</t>
  </si>
  <si>
    <t xml:space="preserve">Hector Hernan</t>
  </si>
  <si>
    <t xml:space="preserve">CANCLINI</t>
  </si>
  <si>
    <t xml:space="preserve">canclinihector@gmail.com</t>
  </si>
  <si>
    <t xml:space="preserve">Martin Ezequiel</t>
  </si>
  <si>
    <t xml:space="preserve">Celestino</t>
  </si>
  <si>
    <t xml:space="preserve">martin.ezequiel.celestino@gmail.com</t>
  </si>
  <si>
    <t xml:space="preserve">Benjamin Matias</t>
  </si>
  <si>
    <t xml:space="preserve">CORNEJO</t>
  </si>
  <si>
    <t xml:space="preserve">benjamatias007@gmail.com</t>
  </si>
  <si>
    <t xml:space="preserve">Lucio</t>
  </si>
  <si>
    <t xml:space="preserve">DEL MASTRO</t>
  </si>
  <si>
    <t xml:space="preserve">47514980@gmail.com</t>
  </si>
  <si>
    <t xml:space="preserve">Tobias Nicolas</t>
  </si>
  <si>
    <t xml:space="preserve">DIAZ</t>
  </si>
  <si>
    <t xml:space="preserve">tobiasdiaz2008@gmail.com</t>
  </si>
  <si>
    <t xml:space="preserve">Valentino Eduardo Javier</t>
  </si>
  <si>
    <t xml:space="preserve">FERNANDEZ</t>
  </si>
  <si>
    <t xml:space="preserve">valentinoel12@gmail.com</t>
  </si>
  <si>
    <t xml:space="preserve">Ariadna Uma</t>
  </si>
  <si>
    <t xml:space="preserve">FERRARI RUBINI</t>
  </si>
  <si>
    <t xml:space="preserve">48241663@gmail.com</t>
  </si>
  <si>
    <t xml:space="preserve">German Francisco</t>
  </si>
  <si>
    <t xml:space="preserve">GIRALDES MIRAVAL</t>
  </si>
  <si>
    <t xml:space="preserve">47866914@gmail.com</t>
  </si>
  <si>
    <t xml:space="preserve">no</t>
  </si>
  <si>
    <t xml:space="preserve">Julian uziel</t>
  </si>
  <si>
    <t xml:space="preserve">GONZALEZ</t>
  </si>
  <si>
    <t xml:space="preserve">48847759@gmail.com</t>
  </si>
  <si>
    <t xml:space="preserve">M</t>
  </si>
  <si>
    <t xml:space="preserve">VALENTIN</t>
  </si>
  <si>
    <t xml:space="preserve">GUERRA</t>
  </si>
  <si>
    <t xml:space="preserve">valengamer07@outlook.com</t>
  </si>
  <si>
    <t xml:space="preserve">Joaquín</t>
  </si>
  <si>
    <t xml:space="preserve">HERRERA</t>
  </si>
  <si>
    <t xml:space="preserve">joaquinsimonherrera@gmail.com</t>
  </si>
  <si>
    <t xml:space="preserve">Lucas Sebastian</t>
  </si>
  <si>
    <t xml:space="preserve">Muñoz</t>
  </si>
  <si>
    <t xml:space="preserve">47171973@gmail.com</t>
  </si>
  <si>
    <t xml:space="preserve">Thomas Adrián</t>
  </si>
  <si>
    <t xml:space="preserve">Peter</t>
  </si>
  <si>
    <t xml:space="preserve">thominahi@gmail.com</t>
  </si>
  <si>
    <t xml:space="preserve">Carlos Miguel</t>
  </si>
  <si>
    <t xml:space="preserve">Rivero Montesino</t>
  </si>
  <si>
    <t xml:space="preserve">carlomontes06@gmail.com</t>
  </si>
  <si>
    <t xml:space="preserve">T</t>
  </si>
  <si>
    <t xml:space="preserve">Ignacio</t>
  </si>
  <si>
    <t xml:space="preserve">Rojas</t>
  </si>
  <si>
    <t xml:space="preserve">nachoenzorojas@gmail.com</t>
  </si>
  <si>
    <t xml:space="preserve">Franco Emanuel</t>
  </si>
  <si>
    <t xml:space="preserve">SALINA</t>
  </si>
  <si>
    <t xml:space="preserve">francopuma2000@gmail.com</t>
  </si>
  <si>
    <t xml:space="preserve">Maia Zoel</t>
  </si>
  <si>
    <t xml:space="preserve">SOSA ARCE</t>
  </si>
  <si>
    <t xml:space="preserve">48110972@gmail.com</t>
  </si>
  <si>
    <t xml:space="preserve">Carlos Leonel</t>
  </si>
  <si>
    <t xml:space="preserve">TRINIDAD SANABRIA</t>
  </si>
  <si>
    <t xml:space="preserve">48183416@gmail.com</t>
  </si>
  <si>
    <t xml:space="preserve">Santiago Osmar</t>
  </si>
  <si>
    <t xml:space="preserve">VEGA</t>
  </si>
  <si>
    <t xml:space="preserve">megustaelpene@gmail.com</t>
  </si>
  <si>
    <t xml:space="preserve">Luciano Emanuel</t>
  </si>
  <si>
    <t xml:space="preserve">Velásquez</t>
  </si>
  <si>
    <t xml:space="preserve">lucianovel31@gmail.com</t>
  </si>
  <si>
    <t xml:space="preserve">Recursando</t>
  </si>
  <si>
    <t xml:space="preserve">1er Cua</t>
  </si>
  <si>
    <t xml:space="preserve">Coriocco</t>
  </si>
  <si>
    <t xml:space="preserve">2do Cua</t>
  </si>
  <si>
    <t xml:space="preserve">1-volt y amp</t>
  </si>
  <si>
    <t xml:space="preserve">Recup</t>
  </si>
  <si>
    <t xml:space="preserve">2- vol multi</t>
  </si>
  <si>
    <t xml:space="preserve">3-amp multi</t>
  </si>
  <si>
    <t xml:space="preserve">positivos</t>
  </si>
  <si>
    <t xml:space="preserve">3+positivos</t>
  </si>
  <si>
    <t xml:space="preserve">medio term</t>
  </si>
  <si>
    <t xml:space="preserve">valoracion</t>
  </si>
  <si>
    <t xml:space="preserve">4-man ATA</t>
  </si>
  <si>
    <t xml:space="preserve">Asistencia</t>
  </si>
  <si>
    <t xml:space="preserve">promedio</t>
  </si>
  <si>
    <t xml:space="preserve">Barraza</t>
  </si>
  <si>
    <t xml:space="preserve">prom Gral</t>
  </si>
  <si>
    <t xml:space="preserve">Grupo</t>
  </si>
  <si>
    <t xml:space="preserve">animacion</t>
  </si>
  <si>
    <t xml:space="preserve">1-Rx arinc</t>
  </si>
  <si>
    <t xml:space="preserve">4-instrumentos</t>
  </si>
  <si>
    <t xml:space="preserve">4-inst+ pos</t>
  </si>
  <si>
    <t xml:space="preserve">Casas</t>
  </si>
  <si>
    <t xml:space="preserve">integrado</t>
  </si>
  <si>
    <t xml:space="preserve">final</t>
  </si>
  <si>
    <t xml:space="preserve">recupracion agoso</t>
  </si>
  <si>
    <t xml:space="preserve">7-8</t>
  </si>
  <si>
    <t xml:space="preserve">recuperacion agosto</t>
  </si>
  <si>
    <t xml:space="preserve">Thevenin</t>
  </si>
  <si>
    <t xml:space="preserve">totales</t>
  </si>
  <si>
    <t xml:space="preserve">dif</t>
  </si>
  <si>
    <t xml:space="preserve">Arinc 429</t>
  </si>
  <si>
    <t xml:space="preserve">foto </t>
  </si>
  <si>
    <t xml:space="preserve">total</t>
  </si>
  <si>
    <t xml:space="preserve">Finalizado</t>
  </si>
  <si>
    <t xml:space="preserve">Tiempo requerido</t>
  </si>
  <si>
    <t xml:space="preserve">Calificación/10,00</t>
  </si>
  <si>
    <t xml:space="preserve">segundo</t>
  </si>
  <si>
    <t xml:space="preserve">3 de abril de 2025  19:26</t>
  </si>
  <si>
    <t xml:space="preserve">54 minutos 44 segundos</t>
  </si>
  <si>
    <t xml:space="preserve">-</t>
  </si>
  <si>
    <t xml:space="preserve">3 de abril de 2025  22:26</t>
  </si>
  <si>
    <t xml:space="preserve">3 horas 30 minutos</t>
  </si>
  <si>
    <t xml:space="preserve">3 de abril de 2025  22:49</t>
  </si>
  <si>
    <t xml:space="preserve">31 minutos 34 segundos</t>
  </si>
  <si>
    <t xml:space="preserve">3 de abril de 2025  21:39</t>
  </si>
  <si>
    <t xml:space="preserve">32 minutos 45 segundos</t>
  </si>
  <si>
    <t xml:space="preserve">3 de abril de 2025  21:26</t>
  </si>
  <si>
    <t xml:space="preserve">15 minutos 31 segundos</t>
  </si>
  <si>
    <t xml:space="preserve">3 de abril de 2025  21:09</t>
  </si>
  <si>
    <t xml:space="preserve">2 horas 7 minutos</t>
  </si>
  <si>
    <t xml:space="preserve">3 de abril de 2025  23:29</t>
  </si>
  <si>
    <t xml:space="preserve">10 minutos 20 segundos</t>
  </si>
  <si>
    <t xml:space="preserve">3 de abril de 2025  18:59</t>
  </si>
  <si>
    <t xml:space="preserve">39 minutos 34 segundos</t>
  </si>
  <si>
    <t xml:space="preserve">3 de abril de 2025  19:48</t>
  </si>
  <si>
    <t xml:space="preserve">1 hora 13 minutos</t>
  </si>
  <si>
    <t xml:space="preserve">3 de abril de 2025  19:31</t>
  </si>
  <si>
    <t xml:space="preserve">1 hora 2 minutos</t>
  </si>
  <si>
    <t xml:space="preserve">10 de abril de 2025  18:48</t>
  </si>
  <si>
    <t xml:space="preserve">1 hora 15 minutos</t>
  </si>
  <si>
    <t xml:space="preserve">3 de abril de 2025  21:16</t>
  </si>
  <si>
    <t xml:space="preserve">15 minutos 6 segundos</t>
  </si>
  <si>
    <t xml:space="preserve">3 de abril de 2025  20:59</t>
  </si>
  <si>
    <t xml:space="preserve">33 minutos 31 segundos</t>
  </si>
  <si>
    <t xml:space="preserve">4 de abril de 2025  23:27</t>
  </si>
  <si>
    <t xml:space="preserve">1 día 4 horas</t>
  </si>
  <si>
    <t xml:space="preserve">3 de abril de 2025  19:25</t>
  </si>
  <si>
    <t xml:space="preserve">16 minutos 3 segundos</t>
  </si>
  <si>
    <t xml:space="preserve">19 minutos 15 segundos</t>
  </si>
  <si>
    <t xml:space="preserve">3 de abril de 2025  22:27</t>
  </si>
  <si>
    <t xml:space="preserve">23 minutos 33 segundos</t>
  </si>
  <si>
    <t xml:space="preserve">3 de abril de 2025  19:09</t>
  </si>
  <si>
    <t xml:space="preserve">51 minutos 30 segundos</t>
  </si>
  <si>
    <t xml:space="preserve">3 de abril de 2025  19:42</t>
  </si>
  <si>
    <t xml:space="preserve">50 minutos 32 segundos</t>
  </si>
  <si>
    <t xml:space="preserve">3 de abril de 2025  22:41</t>
  </si>
  <si>
    <t xml:space="preserve">3 horas 36 minutos</t>
  </si>
  <si>
    <t xml:space="preserve">3 de abril de 2025  22:46</t>
  </si>
  <si>
    <t xml:space="preserve">11 minutos 22 segundos</t>
  </si>
  <si>
    <t xml:space="preserve">3 de abril de 2025  19:50</t>
  </si>
  <si>
    <t xml:space="preserve">58 minutos</t>
  </si>
  <si>
    <t xml:space="preserve">1 hora 16 minutos</t>
  </si>
  <si>
    <t xml:space="preserve">3 de abril de 2025  23:10</t>
  </si>
  <si>
    <t xml:space="preserve">1 hora 1 minutos</t>
  </si>
  <si>
    <t xml:space="preserve">3 de abril de 2025  22:04</t>
  </si>
  <si>
    <t xml:space="preserve">3 horas 25 minutos</t>
  </si>
  <si>
    <t xml:space="preserve">3 de abril de 2025  23:22</t>
  </si>
  <si>
    <t xml:space="preserve">19 minutos 55 segundos</t>
  </si>
  <si>
    <t xml:space="preserve">4 de abril de 2025  19:45</t>
  </si>
  <si>
    <t xml:space="preserve">1 día</t>
  </si>
  <si>
    <t xml:space="preserve">3 de abril de 2025  19:15</t>
  </si>
  <si>
    <t xml:space="preserve">42 minutos 32 segundos</t>
  </si>
  <si>
    <t xml:space="preserve">3 de abril de 2025  22:18</t>
  </si>
  <si>
    <t xml:space="preserve">3 horas 51 minutos</t>
  </si>
  <si>
    <t xml:space="preserve">3 de abril de 2025  21:49</t>
  </si>
  <si>
    <t xml:space="preserve">2 horas 24 minutos</t>
  </si>
  <si>
    <t xml:space="preserve">3 de abril de 2025  19:01</t>
  </si>
  <si>
    <t xml:space="preserve">20 minutos 56 segundos</t>
  </si>
  <si>
    <t xml:space="preserve">3 de abril de 2025  19:23</t>
  </si>
  <si>
    <t xml:space="preserve">19 minutos 53 segundos</t>
  </si>
  <si>
    <t xml:space="preserve">3 de abril de 2025  23:08</t>
  </si>
  <si>
    <t xml:space="preserve">25 minutos 54 segundos</t>
  </si>
  <si>
    <t xml:space="preserve">3 de abril de 2025  19:34</t>
  </si>
  <si>
    <t xml:space="preserve">1 hora 4 minutos</t>
  </si>
  <si>
    <t xml:space="preserve">3 de abril de 2025  19:10</t>
  </si>
  <si>
    <t xml:space="preserve">46 minutos 55 segundos</t>
  </si>
  <si>
    <t xml:space="preserve">3 de abril de 2025  22:24</t>
  </si>
  <si>
    <t xml:space="preserve">2 horas 55 minutos</t>
  </si>
  <si>
    <t xml:space="preserve">3 de abril de 2025  23:09</t>
  </si>
  <si>
    <t xml:space="preserve">40 minutos 52 segundos</t>
  </si>
  <si>
    <t xml:space="preserve">3 de abril de 2025  23:03</t>
  </si>
  <si>
    <t xml:space="preserve">5 minutos 28 segundos</t>
  </si>
  <si>
    <t xml:space="preserve">3 de abril de 2025  22:58</t>
  </si>
  <si>
    <t xml:space="preserve">15 minutos 32 segundos</t>
  </si>
  <si>
    <t xml:space="preserve">3 de abril de 2025  23:18</t>
  </si>
  <si>
    <t xml:space="preserve">6 minutos 21 segundos</t>
  </si>
  <si>
    <t xml:space="preserve">3 de abril de 2025  23:11</t>
  </si>
  <si>
    <t xml:space="preserve">7 minutos 30 segundos</t>
  </si>
  <si>
    <t xml:space="preserve">3 de abril de 2025  22:42</t>
  </si>
  <si>
    <t xml:space="preserve">28 minutos 40 segundos</t>
  </si>
  <si>
    <t xml:space="preserve">3 de abril de 2025  21:31</t>
  </si>
  <si>
    <t xml:space="preserve">14 minutos 28 segundos</t>
  </si>
  <si>
    <t xml:space="preserve">3 de abril de 2025  21:54</t>
  </si>
  <si>
    <t xml:space="preserve">2 horas 27 minutos</t>
  </si>
  <si>
    <t xml:space="preserve">3 de abril de 2025  19:21</t>
  </si>
  <si>
    <t xml:space="preserve">8 minutos 11 segundos</t>
  </si>
  <si>
    <t xml:space="preserve">3 de abril de 2025  23:35</t>
  </si>
  <si>
    <t xml:space="preserve">4 horas 48 minutos</t>
  </si>
  <si>
    <t xml:space="preserve">3 de abril de 2025  22:48</t>
  </si>
  <si>
    <t xml:space="preserve">14 segundos</t>
  </si>
  <si>
    <t xml:space="preserve">3 de abril de 2025  23:59</t>
  </si>
  <si>
    <t xml:space="preserve">17 minutos 52 segundos</t>
  </si>
  <si>
    <t xml:space="preserve">4 de abril de 2025  19:46</t>
  </si>
  <si>
    <t xml:space="preserve">1 día 1 hora</t>
  </si>
  <si>
    <t xml:space="preserve">3 de abril de 2025  21:19</t>
  </si>
  <si>
    <t xml:space="preserve">1 hora 43 minutos</t>
  </si>
  <si>
    <t xml:space="preserve">3 de abril de 2025  22:59</t>
  </si>
  <si>
    <t xml:space="preserve">37 minutos 11 segundos</t>
  </si>
  <si>
    <t xml:space="preserve">3 de abril de 2025  23:27</t>
  </si>
  <si>
    <t xml:space="preserve">1 hora 36 minutos</t>
  </si>
  <si>
    <t xml:space="preserve">19 minutos 8 segundos</t>
  </si>
  <si>
    <t xml:space="preserve">3 de abril de 2025  19:28</t>
  </si>
  <si>
    <t xml:space="preserve">5 minutos 4 segundos</t>
  </si>
  <si>
    <t xml:space="preserve">3 de abril de 2025  22:17</t>
  </si>
  <si>
    <t xml:space="preserve">2 horas 41 minutos</t>
  </si>
  <si>
    <t xml:space="preserve">3 de abril de 2025  21:52</t>
  </si>
  <si>
    <t xml:space="preserve">11 minutos 23 segundos</t>
  </si>
  <si>
    <t xml:space="preserve">3 de abril de 2025  23:56</t>
  </si>
  <si>
    <t xml:space="preserve">43 minutos 17 segundos</t>
  </si>
  <si>
    <t xml:space="preserve">25 de abril de 2025  00:17</t>
  </si>
  <si>
    <t xml:space="preserve">4 horas 29 minutos</t>
  </si>
  <si>
    <t xml:space="preserve">4 de mayo de 2025  22:01</t>
  </si>
  <si>
    <t xml:space="preserve">31 días 3 horas</t>
  </si>
  <si>
    <t xml:space="preserve">27 de abril de 2025  19:53</t>
  </si>
  <si>
    <t xml:space="preserve">3 días</t>
  </si>
  <si>
    <t xml:space="preserve">27 de abril de 2025  20:27</t>
  </si>
  <si>
    <t xml:space="preserve">1 hora 9 minutos</t>
  </si>
  <si>
    <t xml:space="preserve">3 de abril de 2025  19:12</t>
  </si>
  <si>
    <t xml:space="preserve">18 minutos 6 segundos</t>
  </si>
  <si>
    <t xml:space="preserve">26 de abril de 2025  21:03</t>
  </si>
  <si>
    <t xml:space="preserve">13 minutos 25 segundos</t>
  </si>
  <si>
    <t xml:space="preserve">26 de abril de 2025  20:03</t>
  </si>
  <si>
    <t xml:space="preserve">7 minutos 57 segundos</t>
  </si>
  <si>
    <t xml:space="preserve">27 de abril de 2025  20:39</t>
  </si>
  <si>
    <t xml:space="preserve">27 de abril de 2025  20:36</t>
  </si>
  <si>
    <t xml:space="preserve">9 minutos 43 segundos</t>
  </si>
  <si>
    <t xml:space="preserve">26 de abril de 2025  21:41</t>
  </si>
  <si>
    <t xml:space="preserve">2 días 1 hora</t>
  </si>
  <si>
    <t xml:space="preserve">3 de abril de 2025  21:43</t>
  </si>
  <si>
    <t xml:space="preserve">23 minutos 22 segundos</t>
  </si>
  <si>
    <t xml:space="preserve">24 de abril de 2025  23:10</t>
  </si>
  <si>
    <t xml:space="preserve">19 minutos 41 segundos</t>
  </si>
  <si>
    <t xml:space="preserve">24 de abril de 2025  22:48</t>
  </si>
  <si>
    <t xml:space="preserve">3 horas 4 minutos</t>
  </si>
  <si>
    <t xml:space="preserve">27 de abril de 2025  14:17</t>
  </si>
  <si>
    <t xml:space="preserve">19 horas 45 minutos</t>
  </si>
  <si>
    <t xml:space="preserve">27 de abril de 2025  19:17</t>
  </si>
  <si>
    <t xml:space="preserve">3 horas 48 minutos</t>
  </si>
  <si>
    <t xml:space="preserve">27 de abril de 2025  20:10</t>
  </si>
  <si>
    <t xml:space="preserve">total notas</t>
  </si>
  <si>
    <t xml:space="preserve">Calificación/9,00</t>
  </si>
  <si>
    <t xml:space="preserve">P. 1 /1,00</t>
  </si>
  <si>
    <t xml:space="preserve">P. 2 /1,00</t>
  </si>
  <si>
    <t xml:space="preserve">P. 3 /1,00</t>
  </si>
  <si>
    <t xml:space="preserve">P. 4 /1,00</t>
  </si>
  <si>
    <t xml:space="preserve">P. 5 /1,00</t>
  </si>
  <si>
    <t xml:space="preserve">P. 6 /1,00</t>
  </si>
  <si>
    <t xml:space="preserve">P. 7 /1,00</t>
  </si>
  <si>
    <t xml:space="preserve">P. 8 /1,00</t>
  </si>
  <si>
    <t xml:space="preserve">P. 9 /1,00</t>
  </si>
  <si>
    <t xml:space="preserve">27 de abril de 2025  20:16</t>
  </si>
  <si>
    <t xml:space="preserve">8 minutos 14 segundos</t>
  </si>
  <si>
    <t xml:space="preserve">5 de mayo de 2025  23:18</t>
  </si>
  <si>
    <t xml:space="preserve">5 minutos 5 segundos</t>
  </si>
  <si>
    <t xml:space="preserve">7 de mayo de 2025  14:10</t>
  </si>
  <si>
    <t xml:space="preserve">34 minutos 41 segundos</t>
  </si>
  <si>
    <t xml:space="preserve">5 de mayo de 2025  23:30</t>
  </si>
  <si>
    <t xml:space="preserve">10 minutos 42 segundos</t>
  </si>
  <si>
    <t xml:space="preserve">4 de abril de 2025  21:00</t>
  </si>
  <si>
    <t xml:space="preserve">11 minutos 4 segundos</t>
  </si>
  <si>
    <t xml:space="preserve">7 de mayo de 2025  13:12</t>
  </si>
  <si>
    <t xml:space="preserve">14 minutos 3 segundos</t>
  </si>
  <si>
    <t xml:space="preserve">7 de mayo de 2025  14:15</t>
  </si>
  <si>
    <t xml:space="preserve">5 minutos 3 segundos</t>
  </si>
  <si>
    <t xml:space="preserve">5 de mayo de 2025  23:44</t>
  </si>
  <si>
    <t xml:space="preserve">13 minutos 55 segundos</t>
  </si>
  <si>
    <t xml:space="preserve">P. 1 /1,67</t>
  </si>
  <si>
    <t xml:space="preserve">P. 2 /8,33</t>
  </si>
  <si>
    <t xml:space="preserve">10 de abril de 2025  19:59</t>
  </si>
  <si>
    <t xml:space="preserve">14 minutos 12 segundos</t>
  </si>
  <si>
    <t xml:space="preserve">10 de abril de 2025  19:51</t>
  </si>
  <si>
    <t xml:space="preserve">8 minutos 18 segundos</t>
  </si>
  <si>
    <t xml:space="preserve">10 de abril de 2025  19:55</t>
  </si>
  <si>
    <t xml:space="preserve">9 minutos 25 segundos</t>
  </si>
  <si>
    <t xml:space="preserve">10 de abril de 2025  19:57</t>
  </si>
  <si>
    <t xml:space="preserve">1 minutos</t>
  </si>
  <si>
    <t xml:space="preserve">15 minutos 33 segundos</t>
  </si>
  <si>
    <t xml:space="preserve">15 minutos 42 segundos</t>
  </si>
  <si>
    <t xml:space="preserve">10 de abril de 2025  19:50</t>
  </si>
  <si>
    <t xml:space="preserve">5 minutos 40 segundos</t>
  </si>
  <si>
    <t xml:space="preserve">10 de abril de 2025  19:56</t>
  </si>
  <si>
    <t xml:space="preserve">12 minutos 22 segundos</t>
  </si>
  <si>
    <t xml:space="preserve">4 minutos 55 segundos</t>
  </si>
  <si>
    <t xml:space="preserve">5 minutos 35 segundos</t>
  </si>
  <si>
    <t xml:space="preserve">5 minutos 10 segundos</t>
  </si>
  <si>
    <t xml:space="preserve">3 minutos 30 segundos</t>
  </si>
  <si>
    <t xml:space="preserve">3 minutos 31 segundos</t>
  </si>
  <si>
    <t xml:space="preserve">3 minutos 57 segundos</t>
  </si>
  <si>
    <t xml:space="preserve">2 minutos 28 segundos</t>
  </si>
  <si>
    <t xml:space="preserve">6 minutos 11 segundos</t>
  </si>
  <si>
    <t xml:space="preserve">10 minutos</t>
  </si>
  <si>
    <t xml:space="preserve">8 minutos 24 segundos</t>
  </si>
  <si>
    <t xml:space="preserve">8 minutos</t>
  </si>
  <si>
    <t xml:space="preserve">4 minutos 28 segundos</t>
  </si>
  <si>
    <t xml:space="preserve">5 minutos 37 segundos</t>
  </si>
  <si>
    <t xml:space="preserve">5 minutos 7 segundos</t>
  </si>
  <si>
    <t xml:space="preserve">3 minutos 51 segundos</t>
  </si>
  <si>
    <t xml:space="preserve">7 minutos 23 segundos</t>
  </si>
  <si>
    <t xml:space="preserve">9 minutos 40 segundos</t>
  </si>
  <si>
    <t xml:space="preserve">4 minutos 12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</si>
</sst>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107"/>
        <bgColor rgb="FFFF9800"/>
      </patternFill>
    </fill>
    <fill>
      <patternFill patternType="solid">
        <fgColor rgb="FFFF9800"/>
        <bgColor rgb="FFFFC107"/>
      </patternFill>
    </fill>
    <fill>
      <patternFill patternType="solid">
        <fgColor rgb="FF8BC34A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000000"/>
        <sz val="12"/>
      </font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  <alignment horizontal="general" vertical="bottom" textRotation="0" wrapText="false" indent="0" shrinkToFit="false"/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  <alignment horizontal="general" vertical="bottom" textRotation="0" wrapText="false" indent="0" shrinkToFit="false"/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  <alignment horizontal="general" vertical="bottom" textRotation="0" wrapText="false" indent="0" shrinkToFit="false"/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8BC34A"/>
      <rgbColor rgb="FFFFC107"/>
      <rgbColor rgb="FFFF98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3" activeCellId="0" sqref="A13"/>
    </sheetView>
  </sheetViews>
  <sheetFormatPr defaultColWidth="8.86328125" defaultRowHeight="15" zeroHeight="false" outlineLevelRow="0" outlineLevelCol="0"/>
  <cols>
    <col collapsed="false" customWidth="true" hidden="false" outlineLevel="0" max="1" min="1" style="1" width="4.5"/>
    <col collapsed="false" customWidth="true" hidden="true" outlineLevel="0" max="2" min="2" style="1" width="21.98"/>
    <col collapsed="false" customWidth="true" hidden="false" outlineLevel="0" max="3" min="3" style="1" width="18.61"/>
    <col collapsed="false" customWidth="true" hidden="true" outlineLevel="0" max="4" min="4" style="1" width="33.13"/>
    <col collapsed="false" customWidth="true" hidden="true" outlineLevel="0" max="7" min="5" style="1" width="8.77"/>
    <col collapsed="false" customWidth="true" hidden="true" outlineLevel="0" max="8" min="8" style="1" width="10.85"/>
    <col collapsed="false" customWidth="true" hidden="true" outlineLevel="0" max="9" min="9" style="1" width="8.77"/>
    <col collapsed="false" customWidth="true" hidden="true" outlineLevel="0" max="10" min="10" style="1" width="8.65"/>
    <col collapsed="false" customWidth="true" hidden="true" outlineLevel="0" max="21" min="11" style="1" width="8.77"/>
    <col collapsed="false" customWidth="false" hidden="true" outlineLevel="0" max="24" min="22" style="1" width="8.86"/>
    <col collapsed="false" customWidth="true" hidden="true" outlineLevel="0" max="25" min="25" style="1" width="11.51"/>
    <col collapsed="false" customWidth="false" hidden="true" outlineLevel="0" max="33" min="26" style="1" width="8.86"/>
    <col collapsed="false" customWidth="false" hidden="true" outlineLevel="0" max="35" min="34" style="2" width="8.86"/>
  </cols>
  <sheetData>
    <row r="1" customFormat="false" ht="15" hidden="false" customHeight="false" outlineLevel="0" collapsed="false">
      <c r="B1" s="3"/>
      <c r="C1" s="3"/>
      <c r="D1" s="3"/>
      <c r="E1" s="4"/>
      <c r="F1" s="4"/>
      <c r="G1" s="4"/>
      <c r="I1" s="4"/>
      <c r="K1" s="4"/>
      <c r="L1" s="4"/>
      <c r="M1" s="4"/>
      <c r="O1" s="4"/>
      <c r="P1" s="4"/>
      <c r="W1" s="1" t="n">
        <v>9</v>
      </c>
      <c r="X1" s="1" t="n">
        <v>10</v>
      </c>
    </row>
    <row r="2" customFormat="false" ht="15" hidden="false" customHeight="false" outlineLevel="0" collapsed="false">
      <c r="A2" s="1" t="s">
        <v>0</v>
      </c>
      <c r="B2" s="3" t="s">
        <v>1</v>
      </c>
      <c r="C2" s="3" t="s">
        <v>2</v>
      </c>
      <c r="D2" s="3" t="s">
        <v>3</v>
      </c>
      <c r="E2" s="4" t="n">
        <v>45785</v>
      </c>
      <c r="F2" s="4" t="n">
        <v>45792</v>
      </c>
      <c r="G2" s="4" t="n">
        <v>45813</v>
      </c>
      <c r="H2" s="1" t="s">
        <v>4</v>
      </c>
      <c r="I2" s="4" t="n">
        <v>45820</v>
      </c>
      <c r="J2" s="1" t="s">
        <v>4</v>
      </c>
      <c r="K2" s="4" t="n">
        <v>45827</v>
      </c>
      <c r="L2" s="4" t="n">
        <v>45834</v>
      </c>
      <c r="M2" s="4" t="n">
        <v>45839</v>
      </c>
      <c r="N2" s="1" t="s">
        <v>5</v>
      </c>
      <c r="O2" s="4" t="n">
        <v>45841</v>
      </c>
      <c r="P2" s="4" t="n">
        <v>45848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4" t="n">
        <v>45855</v>
      </c>
      <c r="W2" s="4" t="n">
        <v>45897</v>
      </c>
      <c r="X2" s="4" t="n">
        <v>45904</v>
      </c>
      <c r="Y2" s="1" t="s">
        <v>4</v>
      </c>
      <c r="Z2" s="4" t="n">
        <v>45918</v>
      </c>
      <c r="AA2" s="4" t="n">
        <v>45925</v>
      </c>
      <c r="AB2" s="1" t="s">
        <v>11</v>
      </c>
      <c r="AC2" s="4" t="n">
        <v>45932</v>
      </c>
      <c r="AD2" s="4" t="n">
        <v>45953</v>
      </c>
      <c r="AE2" s="4" t="n">
        <v>45960</v>
      </c>
      <c r="AF2" s="4" t="n">
        <v>45967</v>
      </c>
      <c r="AG2" s="4" t="n">
        <v>45974</v>
      </c>
      <c r="AH2" s="5" t="n">
        <v>45981</v>
      </c>
      <c r="AI2" s="5" t="n">
        <v>45988</v>
      </c>
      <c r="AJ2" s="3" t="s">
        <v>6</v>
      </c>
      <c r="AK2" s="3" t="s">
        <v>12</v>
      </c>
      <c r="AL2" s="3" t="s">
        <v>8</v>
      </c>
      <c r="AM2" s="3" t="s">
        <v>13</v>
      </c>
    </row>
    <row r="3" customFormat="false" ht="15" hidden="false" customHeight="false" outlineLevel="0" collapsed="false">
      <c r="A3" s="1" t="n">
        <v>1</v>
      </c>
      <c r="B3" s="3" t="s">
        <v>14</v>
      </c>
      <c r="C3" s="3" t="s">
        <v>15</v>
      </c>
      <c r="D3" s="3" t="s">
        <v>16</v>
      </c>
      <c r="E3" s="1" t="s">
        <v>17</v>
      </c>
      <c r="F3" s="1" t="s">
        <v>17</v>
      </c>
      <c r="G3" s="1" t="s">
        <v>17</v>
      </c>
      <c r="I3" s="1" t="s">
        <v>17</v>
      </c>
      <c r="J3" s="1" t="s">
        <v>18</v>
      </c>
      <c r="K3" s="1" t="s">
        <v>17</v>
      </c>
      <c r="L3" s="1" t="s">
        <v>17</v>
      </c>
      <c r="M3" s="1" t="s">
        <v>19</v>
      </c>
      <c r="O3" s="1" t="s">
        <v>17</v>
      </c>
      <c r="P3" s="1" t="s">
        <v>17</v>
      </c>
      <c r="Q3" s="1" t="n">
        <f aca="false">COUNTIF(E3:P3,"P")</f>
        <v>8</v>
      </c>
      <c r="R3" s="1" t="n">
        <f aca="false">COUNTIF(E3:P3,"M")</f>
        <v>0</v>
      </c>
      <c r="S3" s="1" t="n">
        <f aca="false">COUNTIF(E3:P3,"T")</f>
        <v>0</v>
      </c>
      <c r="T3" s="6" t="n">
        <f aca="false">ROUND(Q3+R3/3+S3/4,0)</f>
        <v>8</v>
      </c>
      <c r="U3" s="7" t="n">
        <f aca="false">ROUND(T3*10/$W$1,0)</f>
        <v>9</v>
      </c>
      <c r="V3" s="1" t="s">
        <v>17</v>
      </c>
      <c r="W3" s="1" t="s">
        <v>17</v>
      </c>
      <c r="X3" s="1" t="s">
        <v>17</v>
      </c>
      <c r="Z3" s="1" t="s">
        <v>17</v>
      </c>
      <c r="AA3" s="1" t="s">
        <v>17</v>
      </c>
      <c r="AB3" s="1" t="s">
        <v>20</v>
      </c>
      <c r="AC3" s="1" t="s">
        <v>17</v>
      </c>
      <c r="AD3" s="3" t="s">
        <v>19</v>
      </c>
      <c r="AE3" s="3" t="s">
        <v>19</v>
      </c>
      <c r="AF3" s="3" t="s">
        <v>17</v>
      </c>
      <c r="AG3" s="3" t="s">
        <v>17</v>
      </c>
      <c r="AH3" s="2" t="s">
        <v>19</v>
      </c>
      <c r="AI3" s="2" t="s">
        <v>17</v>
      </c>
      <c r="AJ3" s="3" t="n">
        <f aca="false">COUNTIF(V3:AG3,"P")</f>
        <v>8</v>
      </c>
      <c r="AK3" s="3" t="n">
        <f aca="false">COUNTIF(V3:AG3,"M")</f>
        <v>0</v>
      </c>
      <c r="AL3" s="3" t="n">
        <f aca="false">COUNTIF(V3:AG3,"T")</f>
        <v>0</v>
      </c>
      <c r="AM3" s="8" t="n">
        <f aca="false">ROUND(AJ3+AK3/2+AL3/4,0)</f>
        <v>8</v>
      </c>
    </row>
    <row r="4" customFormat="false" ht="15" hidden="false" customHeight="false" outlineLevel="0" collapsed="false">
      <c r="A4" s="1" t="n">
        <v>2</v>
      </c>
      <c r="B4" s="3" t="s">
        <v>21</v>
      </c>
      <c r="C4" s="3" t="s">
        <v>22</v>
      </c>
      <c r="D4" s="3" t="s">
        <v>23</v>
      </c>
      <c r="E4" s="1" t="s">
        <v>17</v>
      </c>
      <c r="F4" s="1" t="s">
        <v>17</v>
      </c>
      <c r="G4" s="1" t="s">
        <v>17</v>
      </c>
      <c r="I4" s="1" t="s">
        <v>17</v>
      </c>
      <c r="J4" s="1" t="s">
        <v>18</v>
      </c>
      <c r="K4" s="1" t="s">
        <v>17</v>
      </c>
      <c r="L4" s="1" t="s">
        <v>17</v>
      </c>
      <c r="M4" s="1" t="s">
        <v>17</v>
      </c>
      <c r="O4" s="1" t="s">
        <v>17</v>
      </c>
      <c r="P4" s="1" t="s">
        <v>17</v>
      </c>
      <c r="Q4" s="1" t="n">
        <f aca="false">COUNTIF(E4:P4,"P")</f>
        <v>9</v>
      </c>
      <c r="R4" s="1" t="n">
        <f aca="false">COUNTIF(E4:P4,"M")</f>
        <v>0</v>
      </c>
      <c r="S4" s="1" t="n">
        <f aca="false">COUNTIF(E4:P4,"T")</f>
        <v>0</v>
      </c>
      <c r="T4" s="6" t="n">
        <f aca="false">ROUND(Q4+R4/3+S4/4,0)</f>
        <v>9</v>
      </c>
      <c r="U4" s="7" t="n">
        <f aca="false">ROUND(T4*10/$W$1,0)</f>
        <v>10</v>
      </c>
      <c r="V4" s="1" t="s">
        <v>19</v>
      </c>
      <c r="W4" s="1" t="s">
        <v>17</v>
      </c>
      <c r="X4" s="1" t="s">
        <v>19</v>
      </c>
      <c r="Z4" s="1" t="s">
        <v>17</v>
      </c>
      <c r="AA4" s="1" t="s">
        <v>17</v>
      </c>
      <c r="AB4" s="1" t="s">
        <v>20</v>
      </c>
      <c r="AC4" s="1" t="s">
        <v>19</v>
      </c>
      <c r="AD4" s="3" t="s">
        <v>17</v>
      </c>
      <c r="AE4" s="3" t="s">
        <v>17</v>
      </c>
      <c r="AF4" s="3" t="s">
        <v>17</v>
      </c>
      <c r="AG4" s="3" t="s">
        <v>19</v>
      </c>
      <c r="AH4" s="2" t="s">
        <v>19</v>
      </c>
      <c r="AI4" s="2" t="s">
        <v>17</v>
      </c>
      <c r="AJ4" s="3" t="n">
        <f aca="false">COUNTIF(V4:AG4,"P")</f>
        <v>6</v>
      </c>
      <c r="AK4" s="3" t="n">
        <f aca="false">COUNTIF(V4:AG4,"M")</f>
        <v>0</v>
      </c>
      <c r="AL4" s="3" t="n">
        <f aca="false">COUNTIF(V4:AG4,"T")</f>
        <v>0</v>
      </c>
      <c r="AM4" s="8" t="n">
        <f aca="false">ROUND(AJ4+AK4/2+AL4/4,0)</f>
        <v>6</v>
      </c>
    </row>
    <row r="5" customFormat="false" ht="15" hidden="false" customHeight="false" outlineLevel="0" collapsed="false">
      <c r="A5" s="1" t="n">
        <v>3</v>
      </c>
      <c r="B5" s="3" t="s">
        <v>24</v>
      </c>
      <c r="C5" s="3" t="s">
        <v>25</v>
      </c>
      <c r="D5" s="3" t="s">
        <v>26</v>
      </c>
      <c r="E5" s="1" t="s">
        <v>17</v>
      </c>
      <c r="F5" s="1" t="s">
        <v>17</v>
      </c>
      <c r="G5" s="1" t="s">
        <v>17</v>
      </c>
      <c r="I5" s="1" t="s">
        <v>17</v>
      </c>
      <c r="K5" s="1" t="s">
        <v>17</v>
      </c>
      <c r="L5" s="1" t="s">
        <v>17</v>
      </c>
      <c r="M5" s="1" t="s">
        <v>19</v>
      </c>
      <c r="O5" s="1" t="s">
        <v>17</v>
      </c>
      <c r="P5" s="1" t="s">
        <v>19</v>
      </c>
      <c r="Q5" s="1" t="n">
        <f aca="false">COUNTIF(E5:P5,"P")</f>
        <v>7</v>
      </c>
      <c r="R5" s="1" t="n">
        <f aca="false">COUNTIF(E5:P5,"M")</f>
        <v>0</v>
      </c>
      <c r="S5" s="1" t="n">
        <f aca="false">COUNTIF(E5:P5,"T")</f>
        <v>0</v>
      </c>
      <c r="T5" s="6" t="n">
        <f aca="false">ROUND(Q5+R5/3+S5/4,0)</f>
        <v>7</v>
      </c>
      <c r="U5" s="7" t="n">
        <f aca="false">ROUND(T5*10/$W$1,0)</f>
        <v>8</v>
      </c>
      <c r="V5" s="1" t="s">
        <v>17</v>
      </c>
      <c r="W5" s="1" t="s">
        <v>27</v>
      </c>
      <c r="X5" s="1" t="s">
        <v>17</v>
      </c>
      <c r="Z5" s="1" t="s">
        <v>17</v>
      </c>
      <c r="AA5" s="1" t="s">
        <v>17</v>
      </c>
      <c r="AB5" s="1" t="s">
        <v>20</v>
      </c>
      <c r="AC5" s="1" t="s">
        <v>19</v>
      </c>
      <c r="AD5" s="3" t="s">
        <v>17</v>
      </c>
      <c r="AE5" s="3" t="s">
        <v>17</v>
      </c>
      <c r="AF5" s="3" t="s">
        <v>17</v>
      </c>
      <c r="AG5" s="3" t="s">
        <v>19</v>
      </c>
      <c r="AH5" s="2" t="s">
        <v>19</v>
      </c>
      <c r="AI5" s="2" t="s">
        <v>19</v>
      </c>
      <c r="AJ5" s="3" t="n">
        <f aca="false">COUNTIF(V5:AG5,"P")</f>
        <v>8</v>
      </c>
      <c r="AK5" s="3" t="n">
        <f aca="false">COUNTIF(V5:AG5,"M")</f>
        <v>0</v>
      </c>
      <c r="AL5" s="3" t="n">
        <f aca="false">COUNTIF(V5:AG5,"T")</f>
        <v>0</v>
      </c>
      <c r="AM5" s="8" t="n">
        <f aca="false">ROUND(AJ5+AK5/2+AL5/4,0)</f>
        <v>8</v>
      </c>
    </row>
    <row r="6" customFormat="false" ht="15" hidden="false" customHeight="false" outlineLevel="0" collapsed="false">
      <c r="A6" s="1" t="n">
        <v>4</v>
      </c>
      <c r="B6" s="3" t="s">
        <v>28</v>
      </c>
      <c r="C6" s="3" t="s">
        <v>29</v>
      </c>
      <c r="D6" s="3" t="s">
        <v>30</v>
      </c>
      <c r="E6" s="1" t="s">
        <v>19</v>
      </c>
      <c r="F6" s="1" t="s">
        <v>17</v>
      </c>
      <c r="G6" s="1" t="s">
        <v>17</v>
      </c>
      <c r="I6" s="1" t="s">
        <v>17</v>
      </c>
      <c r="K6" s="1" t="s">
        <v>17</v>
      </c>
      <c r="L6" s="1" t="s">
        <v>17</v>
      </c>
      <c r="M6" s="1" t="s">
        <v>19</v>
      </c>
      <c r="O6" s="1" t="s">
        <v>17</v>
      </c>
      <c r="P6" s="1" t="s">
        <v>17</v>
      </c>
      <c r="Q6" s="1" t="n">
        <f aca="false">COUNTIF(E6:P6,"P")</f>
        <v>7</v>
      </c>
      <c r="R6" s="1" t="n">
        <f aca="false">COUNTIF(E6:P6,"M")</f>
        <v>0</v>
      </c>
      <c r="S6" s="1" t="n">
        <f aca="false">COUNTIF(E6:P6,"T")</f>
        <v>0</v>
      </c>
      <c r="T6" s="6" t="n">
        <f aca="false">ROUND(Q6+R6/3+S6/4,0)</f>
        <v>7</v>
      </c>
      <c r="U6" s="7" t="n">
        <f aca="false">ROUND(T6*10/$W$1,0)</f>
        <v>8</v>
      </c>
      <c r="V6" s="1" t="s">
        <v>17</v>
      </c>
      <c r="W6" s="1" t="s">
        <v>17</v>
      </c>
      <c r="X6" s="1" t="s">
        <v>17</v>
      </c>
      <c r="Z6" s="1" t="s">
        <v>17</v>
      </c>
      <c r="AA6" s="1" t="s">
        <v>17</v>
      </c>
      <c r="AB6" s="1" t="s">
        <v>20</v>
      </c>
      <c r="AC6" s="1" t="s">
        <v>17</v>
      </c>
      <c r="AD6" s="3" t="s">
        <v>17</v>
      </c>
      <c r="AE6" s="3" t="s">
        <v>17</v>
      </c>
      <c r="AF6" s="3" t="s">
        <v>17</v>
      </c>
      <c r="AG6" s="3" t="s">
        <v>17</v>
      </c>
      <c r="AH6" s="2" t="s">
        <v>19</v>
      </c>
      <c r="AI6" s="2" t="s">
        <v>17</v>
      </c>
      <c r="AJ6" s="3" t="n">
        <f aca="false">COUNTIF(V6:AG6,"P")</f>
        <v>10</v>
      </c>
      <c r="AK6" s="3" t="n">
        <f aca="false">COUNTIF(V6:AG6,"M")</f>
        <v>0</v>
      </c>
      <c r="AL6" s="3" t="n">
        <f aca="false">COUNTIF(V6:AG6,"T")</f>
        <v>0</v>
      </c>
      <c r="AM6" s="8" t="n">
        <f aca="false">ROUND(AJ6+AK6/2+AL6/4,0)</f>
        <v>10</v>
      </c>
    </row>
    <row r="7" s="2" customFormat="true" ht="15" hidden="false" customHeight="false" outlineLevel="0" collapsed="false">
      <c r="A7" s="2" t="n">
        <v>5</v>
      </c>
      <c r="B7" s="9" t="s">
        <v>31</v>
      </c>
      <c r="C7" s="9" t="s">
        <v>32</v>
      </c>
      <c r="D7" s="9" t="s">
        <v>33</v>
      </c>
      <c r="E7" s="2" t="s">
        <v>19</v>
      </c>
      <c r="F7" s="2" t="s">
        <v>19</v>
      </c>
      <c r="G7" s="2" t="s">
        <v>17</v>
      </c>
      <c r="I7" s="2" t="s">
        <v>19</v>
      </c>
      <c r="J7" s="2" t="s">
        <v>18</v>
      </c>
      <c r="K7" s="2" t="s">
        <v>19</v>
      </c>
      <c r="L7" s="2" t="s">
        <v>19</v>
      </c>
      <c r="M7" s="2" t="s">
        <v>19</v>
      </c>
      <c r="O7" s="2" t="s">
        <v>19</v>
      </c>
      <c r="P7" s="2" t="s">
        <v>19</v>
      </c>
      <c r="Q7" s="2" t="n">
        <f aca="false">COUNTIF(E7:P7,"P")</f>
        <v>1</v>
      </c>
      <c r="R7" s="2" t="n">
        <f aca="false">COUNTIF(E7:P7,"M")</f>
        <v>0</v>
      </c>
      <c r="S7" s="2" t="n">
        <f aca="false">COUNTIF(E7:P7,"T")</f>
        <v>0</v>
      </c>
      <c r="T7" s="10" t="n">
        <f aca="false">ROUND(Q7+R7/3+S7/4,0)</f>
        <v>1</v>
      </c>
      <c r="U7" s="11" t="n">
        <f aca="false">ROUND(T7*10/$W$1,0)</f>
        <v>1</v>
      </c>
      <c r="V7" s="2" t="s">
        <v>19</v>
      </c>
      <c r="W7" s="2" t="s">
        <v>17</v>
      </c>
      <c r="X7" s="2" t="s">
        <v>17</v>
      </c>
      <c r="Z7" s="2" t="s">
        <v>19</v>
      </c>
      <c r="AA7" s="2" t="s">
        <v>19</v>
      </c>
      <c r="AC7" s="2" t="s">
        <v>19</v>
      </c>
      <c r="AD7" s="9" t="s">
        <v>19</v>
      </c>
      <c r="AE7" s="2" t="s">
        <v>19</v>
      </c>
      <c r="AF7" s="2" t="s">
        <v>19</v>
      </c>
      <c r="AG7" s="2" t="s">
        <v>19</v>
      </c>
      <c r="AH7" s="9" t="s">
        <v>17</v>
      </c>
      <c r="AI7" s="9" t="s">
        <v>17</v>
      </c>
      <c r="AJ7" s="3" t="n">
        <f aca="false">COUNTIF(V7:AG7,"P")</f>
        <v>2</v>
      </c>
      <c r="AK7" s="3" t="n">
        <f aca="false">COUNTIF(V7:AG7,"M")</f>
        <v>0</v>
      </c>
      <c r="AL7" s="3" t="n">
        <f aca="false">COUNTIF(V7:AG7,"T")</f>
        <v>0</v>
      </c>
      <c r="AM7" s="8" t="n">
        <f aca="false">ROUND(AJ7+AK7/2+AL7/4,0)</f>
        <v>2</v>
      </c>
    </row>
    <row r="8" s="2" customFormat="true" ht="15" hidden="false" customHeight="false" outlineLevel="0" collapsed="false">
      <c r="A8" s="2" t="n">
        <v>6</v>
      </c>
      <c r="B8" s="9" t="s">
        <v>34</v>
      </c>
      <c r="C8" s="9" t="s">
        <v>35</v>
      </c>
      <c r="D8" s="9" t="s">
        <v>36</v>
      </c>
      <c r="E8" s="2" t="s">
        <v>19</v>
      </c>
      <c r="F8" s="2" t="s">
        <v>19</v>
      </c>
      <c r="G8" s="2" t="s">
        <v>19</v>
      </c>
      <c r="H8" s="2" t="s">
        <v>37</v>
      </c>
      <c r="I8" s="2" t="s">
        <v>19</v>
      </c>
      <c r="K8" s="2" t="s">
        <v>19</v>
      </c>
      <c r="L8" s="2" t="s">
        <v>19</v>
      </c>
      <c r="M8" s="2" t="s">
        <v>19</v>
      </c>
      <c r="O8" s="2" t="s">
        <v>19</v>
      </c>
      <c r="P8" s="2" t="s">
        <v>19</v>
      </c>
      <c r="Q8" s="2" t="n">
        <f aca="false">COUNTIF(E8:P8,"P")</f>
        <v>0</v>
      </c>
      <c r="R8" s="2" t="n">
        <f aca="false">COUNTIF(E8:P8,"M")</f>
        <v>0</v>
      </c>
      <c r="S8" s="2" t="n">
        <f aca="false">COUNTIF(E8:P8,"T")</f>
        <v>0</v>
      </c>
      <c r="T8" s="10" t="n">
        <f aca="false">ROUND(Q8+R8/3+S8/4,0)</f>
        <v>0</v>
      </c>
      <c r="U8" s="11" t="n">
        <f aca="false">ROUND(T8*10/$W$1,0)</f>
        <v>0</v>
      </c>
      <c r="V8" s="2" t="s">
        <v>19</v>
      </c>
      <c r="W8" s="3" t="s">
        <v>17</v>
      </c>
      <c r="X8" s="2" t="s">
        <v>19</v>
      </c>
      <c r="Z8" s="2" t="s">
        <v>19</v>
      </c>
      <c r="AA8" s="2" t="s">
        <v>19</v>
      </c>
      <c r="AC8" s="2" t="s">
        <v>19</v>
      </c>
      <c r="AD8" s="2" t="s">
        <v>19</v>
      </c>
      <c r="AE8" s="2" t="s">
        <v>19</v>
      </c>
      <c r="AF8" s="2" t="s">
        <v>19</v>
      </c>
      <c r="AG8" s="2" t="s">
        <v>19</v>
      </c>
      <c r="AH8" s="9" t="s">
        <v>19</v>
      </c>
      <c r="AI8" s="9" t="s">
        <v>19</v>
      </c>
      <c r="AJ8" s="3" t="n">
        <f aca="false">COUNTIF(V8:AG8,"P")</f>
        <v>1</v>
      </c>
      <c r="AK8" s="3" t="n">
        <f aca="false">COUNTIF(V8:AG8,"M")</f>
        <v>0</v>
      </c>
      <c r="AL8" s="3" t="n">
        <f aca="false">COUNTIF(V8:AG8,"T")</f>
        <v>0</v>
      </c>
      <c r="AM8" s="8" t="n">
        <f aca="false">ROUND(AJ8+AK8/2+AL8/4,0)</f>
        <v>1</v>
      </c>
    </row>
    <row r="9" customFormat="false" ht="15" hidden="false" customHeight="false" outlineLevel="0" collapsed="false">
      <c r="A9" s="1" t="n">
        <v>7</v>
      </c>
      <c r="B9" s="3" t="s">
        <v>38</v>
      </c>
      <c r="C9" s="3" t="s">
        <v>39</v>
      </c>
      <c r="D9" s="3" t="s">
        <v>40</v>
      </c>
      <c r="E9" s="1" t="s">
        <v>17</v>
      </c>
      <c r="F9" s="1" t="s">
        <v>17</v>
      </c>
      <c r="G9" s="1" t="s">
        <v>17</v>
      </c>
      <c r="I9" s="1" t="s">
        <v>17</v>
      </c>
      <c r="J9" s="1" t="s">
        <v>18</v>
      </c>
      <c r="K9" s="1" t="s">
        <v>17</v>
      </c>
      <c r="L9" s="1" t="s">
        <v>17</v>
      </c>
      <c r="M9" s="1" t="s">
        <v>17</v>
      </c>
      <c r="O9" s="1" t="s">
        <v>17</v>
      </c>
      <c r="P9" s="1" t="s">
        <v>17</v>
      </c>
      <c r="Q9" s="1" t="n">
        <f aca="false">COUNTIF(E9:P9,"P")</f>
        <v>9</v>
      </c>
      <c r="R9" s="1" t="n">
        <f aca="false">COUNTIF(E9:P9,"M")</f>
        <v>0</v>
      </c>
      <c r="S9" s="1" t="n">
        <f aca="false">COUNTIF(E9:P9,"T")</f>
        <v>0</v>
      </c>
      <c r="T9" s="6" t="n">
        <f aca="false">ROUND(Q9+R9/3+S9/4,0)</f>
        <v>9</v>
      </c>
      <c r="U9" s="7" t="n">
        <f aca="false">ROUND(T9*10/$W$1,0)</f>
        <v>10</v>
      </c>
      <c r="V9" s="1" t="s">
        <v>17</v>
      </c>
      <c r="W9" s="3" t="s">
        <v>17</v>
      </c>
      <c r="X9" s="1" t="s">
        <v>17</v>
      </c>
      <c r="Z9" s="1" t="s">
        <v>17</v>
      </c>
      <c r="AA9" s="1" t="s">
        <v>17</v>
      </c>
      <c r="AB9" s="1" t="s">
        <v>20</v>
      </c>
      <c r="AC9" s="1" t="s">
        <v>17</v>
      </c>
      <c r="AD9" s="3" t="s">
        <v>17</v>
      </c>
      <c r="AE9" s="3" t="s">
        <v>17</v>
      </c>
      <c r="AF9" s="3" t="s">
        <v>17</v>
      </c>
      <c r="AG9" s="3" t="s">
        <v>17</v>
      </c>
      <c r="AH9" s="2" t="s">
        <v>17</v>
      </c>
      <c r="AI9" s="2" t="s">
        <v>17</v>
      </c>
      <c r="AJ9" s="3" t="n">
        <f aca="false">COUNTIF(V9:AG9,"P")</f>
        <v>10</v>
      </c>
      <c r="AK9" s="3" t="n">
        <f aca="false">COUNTIF(V9:AG9,"M")</f>
        <v>0</v>
      </c>
      <c r="AL9" s="3" t="n">
        <f aca="false">COUNTIF(V9:AG9,"T")</f>
        <v>0</v>
      </c>
      <c r="AM9" s="8" t="n">
        <f aca="false">ROUND(AJ9+AK9/2+AL9/4,0)</f>
        <v>10</v>
      </c>
    </row>
    <row r="10" customFormat="false" ht="15" hidden="false" customHeight="false" outlineLevel="0" collapsed="false">
      <c r="A10" s="1" t="n">
        <v>8</v>
      </c>
      <c r="B10" s="3" t="s">
        <v>41</v>
      </c>
      <c r="C10" s="3" t="s">
        <v>42</v>
      </c>
      <c r="D10" s="3" t="s">
        <v>43</v>
      </c>
      <c r="E10" s="1" t="s">
        <v>17</v>
      </c>
      <c r="F10" s="1" t="s">
        <v>17</v>
      </c>
      <c r="G10" s="1" t="s">
        <v>17</v>
      </c>
      <c r="I10" s="1" t="s">
        <v>17</v>
      </c>
      <c r="J10" s="1" t="s">
        <v>18</v>
      </c>
      <c r="K10" s="1" t="s">
        <v>17</v>
      </c>
      <c r="L10" s="1" t="s">
        <v>17</v>
      </c>
      <c r="M10" s="1" t="s">
        <v>17</v>
      </c>
      <c r="O10" s="1" t="s">
        <v>17</v>
      </c>
      <c r="P10" s="1" t="s">
        <v>17</v>
      </c>
      <c r="Q10" s="1" t="n">
        <f aca="false">COUNTIF(E10:P10,"P")</f>
        <v>9</v>
      </c>
      <c r="R10" s="1" t="n">
        <f aca="false">COUNTIF(E10:P10,"M")</f>
        <v>0</v>
      </c>
      <c r="S10" s="1" t="n">
        <f aca="false">COUNTIF(E10:P10,"T")</f>
        <v>0</v>
      </c>
      <c r="T10" s="6" t="n">
        <f aca="false">ROUND(Q10+R10/3+S10/4,0)</f>
        <v>9</v>
      </c>
      <c r="U10" s="7" t="n">
        <f aca="false">ROUND(T10*10/$W$1,0)</f>
        <v>10</v>
      </c>
      <c r="V10" s="1" t="s">
        <v>17</v>
      </c>
      <c r="W10" s="3" t="s">
        <v>17</v>
      </c>
      <c r="X10" s="1" t="s">
        <v>17</v>
      </c>
      <c r="Z10" s="1" t="s">
        <v>17</v>
      </c>
      <c r="AA10" s="1" t="s">
        <v>17</v>
      </c>
      <c r="AB10" s="1" t="s">
        <v>20</v>
      </c>
      <c r="AC10" s="1" t="s">
        <v>17</v>
      </c>
      <c r="AD10" s="3" t="s">
        <v>17</v>
      </c>
      <c r="AE10" s="3" t="s">
        <v>17</v>
      </c>
      <c r="AF10" s="3" t="s">
        <v>17</v>
      </c>
      <c r="AG10" s="3" t="s">
        <v>17</v>
      </c>
      <c r="AH10" s="2" t="s">
        <v>19</v>
      </c>
      <c r="AI10" s="2" t="s">
        <v>17</v>
      </c>
      <c r="AJ10" s="3" t="n">
        <f aca="false">COUNTIF(V10:AG10,"P")</f>
        <v>10</v>
      </c>
      <c r="AK10" s="3" t="n">
        <f aca="false">COUNTIF(V10:AG10,"M")</f>
        <v>0</v>
      </c>
      <c r="AL10" s="3" t="n">
        <f aca="false">COUNTIF(V10:AG10,"T")</f>
        <v>0</v>
      </c>
      <c r="AM10" s="8" t="n">
        <f aca="false">ROUND(AJ10+AK10/2+AL10/4,0)</f>
        <v>10</v>
      </c>
    </row>
    <row r="11" customFormat="false" ht="15" hidden="false" customHeight="false" outlineLevel="0" collapsed="false">
      <c r="A11" s="1" t="n">
        <v>9</v>
      </c>
      <c r="B11" s="3" t="s">
        <v>44</v>
      </c>
      <c r="C11" s="3" t="s">
        <v>45</v>
      </c>
      <c r="D11" s="3" t="s">
        <v>46</v>
      </c>
      <c r="E11" s="1" t="s">
        <v>17</v>
      </c>
      <c r="F11" s="1" t="s">
        <v>17</v>
      </c>
      <c r="G11" s="1" t="s">
        <v>17</v>
      </c>
      <c r="I11" s="1" t="s">
        <v>17</v>
      </c>
      <c r="K11" s="1" t="s">
        <v>17</v>
      </c>
      <c r="L11" s="1" t="s">
        <v>17</v>
      </c>
      <c r="M11" s="1" t="s">
        <v>17</v>
      </c>
      <c r="O11" s="1" t="s">
        <v>17</v>
      </c>
      <c r="P11" s="1" t="s">
        <v>17</v>
      </c>
      <c r="Q11" s="1" t="n">
        <f aca="false">COUNTIF(E11:P11,"P")</f>
        <v>9</v>
      </c>
      <c r="R11" s="1" t="n">
        <f aca="false">COUNTIF(E11:P11,"M")</f>
        <v>0</v>
      </c>
      <c r="S11" s="1" t="n">
        <f aca="false">COUNTIF(E11:P11,"T")</f>
        <v>0</v>
      </c>
      <c r="T11" s="6" t="n">
        <f aca="false">ROUND(Q11+R11/3+S11/4,0)</f>
        <v>9</v>
      </c>
      <c r="U11" s="7" t="n">
        <f aca="false">ROUND(T11*10/$W$1,0)</f>
        <v>10</v>
      </c>
      <c r="V11" s="1" t="s">
        <v>17</v>
      </c>
      <c r="W11" s="3" t="s">
        <v>17</v>
      </c>
      <c r="X11" s="1" t="s">
        <v>17</v>
      </c>
      <c r="Z11" s="1" t="s">
        <v>17</v>
      </c>
      <c r="AA11" s="1" t="s">
        <v>17</v>
      </c>
      <c r="AB11" s="1" t="s">
        <v>20</v>
      </c>
      <c r="AC11" s="1" t="s">
        <v>17</v>
      </c>
      <c r="AD11" s="3" t="s">
        <v>17</v>
      </c>
      <c r="AE11" s="3" t="s">
        <v>17</v>
      </c>
      <c r="AF11" s="3" t="s">
        <v>17</v>
      </c>
      <c r="AG11" s="3" t="s">
        <v>17</v>
      </c>
      <c r="AH11" s="2" t="s">
        <v>17</v>
      </c>
      <c r="AI11" s="2" t="s">
        <v>17</v>
      </c>
      <c r="AJ11" s="3" t="n">
        <f aca="false">COUNTIF(V11:AG11,"P")</f>
        <v>10</v>
      </c>
      <c r="AK11" s="3" t="n">
        <f aca="false">COUNTIF(V11:AG11,"M")</f>
        <v>0</v>
      </c>
      <c r="AL11" s="3" t="n">
        <f aca="false">COUNTIF(V11:AG11,"T")</f>
        <v>0</v>
      </c>
      <c r="AM11" s="8" t="n">
        <f aca="false">ROUND(AJ11+AK11/2+AL11/4,0)</f>
        <v>10</v>
      </c>
    </row>
    <row r="12" customFormat="false" ht="15" hidden="false" customHeight="false" outlineLevel="0" collapsed="false">
      <c r="A12" s="1" t="n">
        <v>10</v>
      </c>
      <c r="B12" s="3" t="s">
        <v>47</v>
      </c>
      <c r="C12" s="3" t="s">
        <v>48</v>
      </c>
      <c r="D12" s="3" t="s">
        <v>49</v>
      </c>
      <c r="E12" s="1" t="s">
        <v>17</v>
      </c>
      <c r="F12" s="1" t="s">
        <v>17</v>
      </c>
      <c r="G12" s="1" t="s">
        <v>17</v>
      </c>
      <c r="I12" s="1" t="s">
        <v>17</v>
      </c>
      <c r="K12" s="1" t="s">
        <v>19</v>
      </c>
      <c r="L12" s="1" t="s">
        <v>17</v>
      </c>
      <c r="M12" s="1" t="s">
        <v>17</v>
      </c>
      <c r="O12" s="1" t="s">
        <v>17</v>
      </c>
      <c r="P12" s="1" t="s">
        <v>17</v>
      </c>
      <c r="Q12" s="1" t="n">
        <f aca="false">COUNTIF(E12:P12,"P")</f>
        <v>8</v>
      </c>
      <c r="R12" s="1" t="n">
        <f aca="false">COUNTIF(E12:P12,"M")</f>
        <v>0</v>
      </c>
      <c r="S12" s="1" t="n">
        <f aca="false">COUNTIF(E12:P12,"T")</f>
        <v>0</v>
      </c>
      <c r="T12" s="6" t="n">
        <f aca="false">ROUND(Q12+R12/3+S12/4,0)</f>
        <v>8</v>
      </c>
      <c r="U12" s="7" t="n">
        <f aca="false">ROUND(T12*10/$W$1,0)</f>
        <v>9</v>
      </c>
      <c r="V12" s="1" t="s">
        <v>19</v>
      </c>
      <c r="W12" s="3" t="s">
        <v>17</v>
      </c>
      <c r="X12" s="1" t="s">
        <v>17</v>
      </c>
      <c r="Z12" s="1" t="s">
        <v>17</v>
      </c>
      <c r="AA12" s="1" t="s">
        <v>17</v>
      </c>
      <c r="AB12" s="1" t="s">
        <v>20</v>
      </c>
      <c r="AC12" s="1" t="s">
        <v>17</v>
      </c>
      <c r="AD12" s="9" t="s">
        <v>17</v>
      </c>
      <c r="AE12" s="3" t="s">
        <v>17</v>
      </c>
      <c r="AF12" s="3" t="s">
        <v>19</v>
      </c>
      <c r="AG12" s="3" t="s">
        <v>17</v>
      </c>
      <c r="AH12" s="2" t="s">
        <v>17</v>
      </c>
      <c r="AI12" s="2" t="s">
        <v>19</v>
      </c>
      <c r="AJ12" s="3" t="n">
        <f aca="false">COUNTIF(V12:AG12,"P")</f>
        <v>8</v>
      </c>
      <c r="AK12" s="3" t="n">
        <f aca="false">COUNTIF(V12:AG12,"M")</f>
        <v>0</v>
      </c>
      <c r="AL12" s="3" t="n">
        <f aca="false">COUNTIF(V12:AG12,"T")</f>
        <v>0</v>
      </c>
      <c r="AM12" s="8" t="n">
        <f aca="false">ROUND(AJ12+AK12/2+AL12/4,0)</f>
        <v>8</v>
      </c>
    </row>
    <row r="13" customFormat="false" ht="15" hidden="false" customHeight="false" outlineLevel="0" collapsed="false">
      <c r="A13" s="1" t="n">
        <v>11</v>
      </c>
      <c r="B13" s="3" t="s">
        <v>50</v>
      </c>
      <c r="C13" s="3" t="s">
        <v>51</v>
      </c>
      <c r="D13" s="3" t="s">
        <v>52</v>
      </c>
      <c r="E13" s="1" t="s">
        <v>17</v>
      </c>
      <c r="F13" s="1" t="s">
        <v>17</v>
      </c>
      <c r="G13" s="1" t="s">
        <v>17</v>
      </c>
      <c r="I13" s="1" t="s">
        <v>17</v>
      </c>
      <c r="K13" s="1" t="s">
        <v>17</v>
      </c>
      <c r="L13" s="1" t="s">
        <v>17</v>
      </c>
      <c r="M13" s="1" t="s">
        <v>17</v>
      </c>
      <c r="O13" s="1" t="s">
        <v>17</v>
      </c>
      <c r="P13" s="1" t="s">
        <v>17</v>
      </c>
      <c r="Q13" s="1" t="n">
        <f aca="false">COUNTIF(E13:P13,"P")</f>
        <v>9</v>
      </c>
      <c r="R13" s="1" t="n">
        <f aca="false">COUNTIF(E13:P13,"M")</f>
        <v>0</v>
      </c>
      <c r="S13" s="1" t="n">
        <f aca="false">COUNTIF(E13:P13,"T")</f>
        <v>0</v>
      </c>
      <c r="T13" s="6" t="n">
        <f aca="false">ROUND(Q13+R13/3+S13/4,0)</f>
        <v>9</v>
      </c>
      <c r="U13" s="7" t="n">
        <f aca="false">ROUND(T13*10/$W$1,0)</f>
        <v>10</v>
      </c>
      <c r="V13" s="1" t="s">
        <v>17</v>
      </c>
      <c r="W13" s="3" t="s">
        <v>17</v>
      </c>
      <c r="X13" s="1" t="s">
        <v>17</v>
      </c>
      <c r="Z13" s="1" t="s">
        <v>19</v>
      </c>
      <c r="AA13" s="1" t="s">
        <v>17</v>
      </c>
      <c r="AB13" s="1" t="s">
        <v>20</v>
      </c>
      <c r="AC13" s="1" t="s">
        <v>17</v>
      </c>
      <c r="AD13" s="3" t="s">
        <v>17</v>
      </c>
      <c r="AE13" s="3" t="s">
        <v>17</v>
      </c>
      <c r="AF13" s="3" t="s">
        <v>17</v>
      </c>
      <c r="AG13" s="3" t="s">
        <v>17</v>
      </c>
      <c r="AH13" s="2" t="s">
        <v>17</v>
      </c>
      <c r="AI13" s="2" t="s">
        <v>17</v>
      </c>
      <c r="AJ13" s="3" t="n">
        <f aca="false">COUNTIF(V13:AG13,"P")</f>
        <v>9</v>
      </c>
      <c r="AK13" s="3" t="n">
        <f aca="false">COUNTIF(V13:AG13,"M")</f>
        <v>0</v>
      </c>
      <c r="AL13" s="3" t="n">
        <f aca="false">COUNTIF(V13:AG13,"T")</f>
        <v>0</v>
      </c>
      <c r="AM13" s="8" t="n">
        <f aca="false">ROUND(AJ13+AK13/2+AL13/4,0)</f>
        <v>9</v>
      </c>
    </row>
    <row r="14" customFormat="false" ht="15" hidden="false" customHeight="false" outlineLevel="0" collapsed="false">
      <c r="A14" s="1" t="n">
        <v>12</v>
      </c>
      <c r="B14" s="3" t="s">
        <v>53</v>
      </c>
      <c r="C14" s="3" t="s">
        <v>54</v>
      </c>
      <c r="D14" s="3" t="s">
        <v>55</v>
      </c>
      <c r="E14" s="1" t="s">
        <v>17</v>
      </c>
      <c r="F14" s="1" t="s">
        <v>17</v>
      </c>
      <c r="G14" s="1" t="s">
        <v>17</v>
      </c>
      <c r="I14" s="1" t="s">
        <v>17</v>
      </c>
      <c r="K14" s="1" t="s">
        <v>17</v>
      </c>
      <c r="L14" s="1" t="s">
        <v>17</v>
      </c>
      <c r="M14" s="1" t="s">
        <v>19</v>
      </c>
      <c r="O14" s="1" t="s">
        <v>17</v>
      </c>
      <c r="P14" s="1" t="s">
        <v>19</v>
      </c>
      <c r="Q14" s="1" t="n">
        <f aca="false">COUNTIF(E14:P14,"P")</f>
        <v>7</v>
      </c>
      <c r="R14" s="1" t="n">
        <f aca="false">COUNTIF(E14:P14,"M")</f>
        <v>0</v>
      </c>
      <c r="S14" s="1" t="n">
        <f aca="false">COUNTIF(E14:P14,"T")</f>
        <v>0</v>
      </c>
      <c r="T14" s="6" t="n">
        <f aca="false">ROUND(Q14+R14/3+S14/4,0)</f>
        <v>7</v>
      </c>
      <c r="U14" s="7" t="n">
        <f aca="false">ROUND(T14*10/$W$1,0)</f>
        <v>8</v>
      </c>
      <c r="V14" s="1" t="s">
        <v>17</v>
      </c>
      <c r="W14" s="3" t="s">
        <v>17</v>
      </c>
      <c r="X14" s="1" t="s">
        <v>17</v>
      </c>
      <c r="Z14" s="1" t="s">
        <v>17</v>
      </c>
      <c r="AA14" s="1" t="s">
        <v>17</v>
      </c>
      <c r="AB14" s="1" t="s">
        <v>20</v>
      </c>
      <c r="AC14" s="1" t="s">
        <v>17</v>
      </c>
      <c r="AD14" s="1" t="s">
        <v>17</v>
      </c>
      <c r="AE14" s="3" t="s">
        <v>17</v>
      </c>
      <c r="AF14" s="3" t="s">
        <v>17</v>
      </c>
      <c r="AG14" s="3" t="s">
        <v>19</v>
      </c>
      <c r="AH14" s="2" t="s">
        <v>17</v>
      </c>
      <c r="AI14" s="2" t="s">
        <v>17</v>
      </c>
      <c r="AJ14" s="3" t="n">
        <f aca="false">COUNTIF(V14:AG14,"P")</f>
        <v>9</v>
      </c>
      <c r="AK14" s="3" t="n">
        <f aca="false">COUNTIF(V14:AG14,"M")</f>
        <v>0</v>
      </c>
      <c r="AL14" s="3" t="n">
        <f aca="false">COUNTIF(V14:AG14,"T")</f>
        <v>0</v>
      </c>
      <c r="AM14" s="8" t="n">
        <f aca="false">ROUND(AJ14+AK14/2+AL14/4,0)</f>
        <v>9</v>
      </c>
    </row>
    <row r="15" customFormat="false" ht="15" hidden="false" customHeight="false" outlineLevel="0" collapsed="false">
      <c r="A15" s="1" t="n">
        <v>13</v>
      </c>
      <c r="B15" s="3" t="s">
        <v>56</v>
      </c>
      <c r="C15" s="3" t="s">
        <v>57</v>
      </c>
      <c r="D15" s="3" t="s">
        <v>58</v>
      </c>
      <c r="E15" s="1" t="s">
        <v>17</v>
      </c>
      <c r="F15" s="1" t="s">
        <v>17</v>
      </c>
      <c r="G15" s="1" t="s">
        <v>19</v>
      </c>
      <c r="I15" s="1" t="s">
        <v>17</v>
      </c>
      <c r="K15" s="1" t="s">
        <v>17</v>
      </c>
      <c r="L15" s="1" t="s">
        <v>17</v>
      </c>
      <c r="M15" s="1" t="s">
        <v>19</v>
      </c>
      <c r="O15" s="1" t="s">
        <v>17</v>
      </c>
      <c r="P15" s="1" t="s">
        <v>19</v>
      </c>
      <c r="Q15" s="1" t="n">
        <f aca="false">COUNTIF(E15:P15,"P")</f>
        <v>6</v>
      </c>
      <c r="R15" s="1" t="n">
        <f aca="false">COUNTIF(E15:P15,"M")</f>
        <v>0</v>
      </c>
      <c r="S15" s="1" t="n">
        <f aca="false">COUNTIF(E15:P15,"T")</f>
        <v>0</v>
      </c>
      <c r="T15" s="6" t="n">
        <f aca="false">ROUND(Q15+R15/3+S15/4,0)</f>
        <v>6</v>
      </c>
      <c r="U15" s="7" t="n">
        <f aca="false">ROUND(T15*10/$W$1,0)</f>
        <v>7</v>
      </c>
      <c r="V15" s="1" t="s">
        <v>17</v>
      </c>
      <c r="W15" s="3" t="s">
        <v>17</v>
      </c>
      <c r="X15" s="1" t="s">
        <v>17</v>
      </c>
      <c r="Z15" s="1" t="s">
        <v>17</v>
      </c>
      <c r="AA15" s="1" t="s">
        <v>17</v>
      </c>
      <c r="AB15" s="1" t="s">
        <v>20</v>
      </c>
      <c r="AC15" s="1" t="s">
        <v>17</v>
      </c>
      <c r="AD15" s="1" t="s">
        <v>17</v>
      </c>
      <c r="AE15" s="3" t="s">
        <v>17</v>
      </c>
      <c r="AF15" s="3" t="s">
        <v>17</v>
      </c>
      <c r="AG15" s="3" t="s">
        <v>19</v>
      </c>
      <c r="AH15" s="2" t="s">
        <v>17</v>
      </c>
      <c r="AI15" s="2" t="s">
        <v>17</v>
      </c>
      <c r="AJ15" s="3" t="n">
        <f aca="false">COUNTIF(V15:AG15,"P")</f>
        <v>9</v>
      </c>
      <c r="AK15" s="3" t="n">
        <f aca="false">COUNTIF(V15:AG15,"M")</f>
        <v>0</v>
      </c>
      <c r="AL15" s="3" t="n">
        <f aca="false">COUNTIF(V15:AG15,"T")</f>
        <v>0</v>
      </c>
      <c r="AM15" s="8" t="n">
        <f aca="false">ROUND(AJ15+AK15/2+AL15/4,0)</f>
        <v>9</v>
      </c>
    </row>
    <row r="16" customFormat="false" ht="15" hidden="false" customHeight="false" outlineLevel="0" collapsed="false">
      <c r="A16" s="1" t="n">
        <v>14</v>
      </c>
      <c r="B16" s="3" t="s">
        <v>59</v>
      </c>
      <c r="C16" s="3" t="s">
        <v>60</v>
      </c>
      <c r="D16" s="3" t="s">
        <v>61</v>
      </c>
      <c r="E16" s="1" t="s">
        <v>17</v>
      </c>
      <c r="F16" s="1" t="s">
        <v>17</v>
      </c>
      <c r="G16" s="1" t="s">
        <v>17</v>
      </c>
      <c r="I16" s="1" t="s">
        <v>17</v>
      </c>
      <c r="K16" s="1" t="s">
        <v>17</v>
      </c>
      <c r="L16" s="1" t="s">
        <v>17</v>
      </c>
      <c r="M16" s="1" t="s">
        <v>17</v>
      </c>
      <c r="O16" s="1" t="s">
        <v>19</v>
      </c>
      <c r="P16" s="1" t="s">
        <v>19</v>
      </c>
      <c r="Q16" s="1" t="n">
        <f aca="false">COUNTIF(E16:P16,"P")</f>
        <v>7</v>
      </c>
      <c r="R16" s="1" t="n">
        <f aca="false">COUNTIF(E16:P16,"M")</f>
        <v>0</v>
      </c>
      <c r="S16" s="1" t="n">
        <f aca="false">COUNTIF(E16:P16,"T")</f>
        <v>0</v>
      </c>
      <c r="T16" s="6" t="n">
        <f aca="false">ROUND(Q16+R16/3+S16/4,0)</f>
        <v>7</v>
      </c>
      <c r="U16" s="7" t="n">
        <f aca="false">ROUND(T16*10/$W$1,0)</f>
        <v>8</v>
      </c>
      <c r="V16" s="1" t="s">
        <v>17</v>
      </c>
      <c r="W16" s="3" t="s">
        <v>17</v>
      </c>
      <c r="X16" s="1" t="s">
        <v>17</v>
      </c>
      <c r="Z16" s="1" t="s">
        <v>17</v>
      </c>
      <c r="AA16" s="1" t="s">
        <v>17</v>
      </c>
      <c r="AB16" s="1" t="s">
        <v>62</v>
      </c>
      <c r="AC16" s="1" t="s">
        <v>19</v>
      </c>
      <c r="AD16" s="1" t="s">
        <v>19</v>
      </c>
      <c r="AE16" s="3" t="s">
        <v>17</v>
      </c>
      <c r="AF16" s="3" t="s">
        <v>17</v>
      </c>
      <c r="AG16" s="3" t="s">
        <v>17</v>
      </c>
      <c r="AH16" s="2" t="s">
        <v>17</v>
      </c>
      <c r="AI16" s="2" t="s">
        <v>19</v>
      </c>
      <c r="AJ16" s="3" t="n">
        <f aca="false">COUNTIF(V16:AG16,"P")</f>
        <v>8</v>
      </c>
      <c r="AK16" s="3" t="n">
        <f aca="false">COUNTIF(V16:AG16,"M")</f>
        <v>0</v>
      </c>
      <c r="AL16" s="3" t="n">
        <f aca="false">COUNTIF(V16:AG16,"T")</f>
        <v>0</v>
      </c>
      <c r="AM16" s="8" t="n">
        <f aca="false">ROUND(AJ16+AK16/2+AL16/4,0)</f>
        <v>8</v>
      </c>
    </row>
    <row r="17" s="2" customFormat="true" ht="15" hidden="false" customHeight="false" outlineLevel="0" collapsed="false">
      <c r="A17" s="2" t="n">
        <v>15</v>
      </c>
      <c r="B17" s="9" t="s">
        <v>63</v>
      </c>
      <c r="C17" s="9" t="s">
        <v>64</v>
      </c>
      <c r="D17" s="9" t="s">
        <v>65</v>
      </c>
      <c r="E17" s="2" t="s">
        <v>17</v>
      </c>
      <c r="F17" s="2" t="s">
        <v>19</v>
      </c>
      <c r="G17" s="2" t="s">
        <v>19</v>
      </c>
      <c r="H17" s="2" t="s">
        <v>37</v>
      </c>
      <c r="I17" s="2" t="s">
        <v>19</v>
      </c>
      <c r="K17" s="2" t="s">
        <v>19</v>
      </c>
      <c r="L17" s="2" t="s">
        <v>19</v>
      </c>
      <c r="M17" s="2" t="s">
        <v>66</v>
      </c>
      <c r="N17" s="12" t="n">
        <v>0.548611111111111</v>
      </c>
      <c r="O17" s="2" t="s">
        <v>19</v>
      </c>
      <c r="P17" s="2" t="s">
        <v>17</v>
      </c>
      <c r="Q17" s="2" t="n">
        <f aca="false">COUNTIF(E17:P17,"P")</f>
        <v>2</v>
      </c>
      <c r="R17" s="2" t="n">
        <f aca="false">COUNTIF(E17:P17,"M")</f>
        <v>1</v>
      </c>
      <c r="S17" s="2" t="n">
        <f aca="false">COUNTIF(E17:P17,"T")</f>
        <v>0</v>
      </c>
      <c r="T17" s="10" t="n">
        <f aca="false">ROUND(Q17+R17/3+S17/4,0)</f>
        <v>2</v>
      </c>
      <c r="U17" s="11" t="n">
        <f aca="false">ROUND(T17*10/$W$1,0)</f>
        <v>2</v>
      </c>
      <c r="V17" s="2" t="s">
        <v>19</v>
      </c>
      <c r="W17" s="3" t="s">
        <v>17</v>
      </c>
      <c r="X17" s="2" t="s">
        <v>19</v>
      </c>
      <c r="Z17" s="2" t="s">
        <v>19</v>
      </c>
      <c r="AA17" s="2" t="s">
        <v>19</v>
      </c>
      <c r="AC17" s="2" t="s">
        <v>19</v>
      </c>
      <c r="AD17" s="2" t="s">
        <v>19</v>
      </c>
      <c r="AE17" s="2" t="s">
        <v>19</v>
      </c>
      <c r="AF17" s="2" t="s">
        <v>19</v>
      </c>
      <c r="AG17" s="2" t="s">
        <v>19</v>
      </c>
      <c r="AH17" s="9" t="s">
        <v>19</v>
      </c>
      <c r="AI17" s="9" t="s">
        <v>19</v>
      </c>
      <c r="AJ17" s="3" t="n">
        <f aca="false">COUNTIF(V17:AG17,"P")</f>
        <v>1</v>
      </c>
      <c r="AK17" s="3" t="n">
        <f aca="false">COUNTIF(V17:AG17,"M")</f>
        <v>0</v>
      </c>
      <c r="AL17" s="3" t="n">
        <f aca="false">COUNTIF(V17:AG17,"T")</f>
        <v>0</v>
      </c>
      <c r="AM17" s="8" t="n">
        <f aca="false">ROUND(AJ17+AK17/2+AL17/4,0)</f>
        <v>1</v>
      </c>
    </row>
    <row r="18" s="2" customFormat="true" ht="15" hidden="false" customHeight="false" outlineLevel="0" collapsed="false">
      <c r="A18" s="2" t="n">
        <v>16</v>
      </c>
      <c r="B18" s="9" t="s">
        <v>67</v>
      </c>
      <c r="C18" s="9" t="s">
        <v>68</v>
      </c>
      <c r="D18" s="9" t="s">
        <v>69</v>
      </c>
      <c r="E18" s="2" t="s">
        <v>19</v>
      </c>
      <c r="F18" s="2" t="s">
        <v>19</v>
      </c>
      <c r="G18" s="2" t="s">
        <v>17</v>
      </c>
      <c r="H18" s="2" t="s">
        <v>37</v>
      </c>
      <c r="I18" s="2" t="s">
        <v>19</v>
      </c>
      <c r="K18" s="2" t="s">
        <v>19</v>
      </c>
      <c r="L18" s="2" t="s">
        <v>19</v>
      </c>
      <c r="M18" s="2" t="s">
        <v>66</v>
      </c>
      <c r="N18" s="12" t="n">
        <v>0.555555555555556</v>
      </c>
      <c r="O18" s="2" t="s">
        <v>19</v>
      </c>
      <c r="P18" s="2" t="s">
        <v>17</v>
      </c>
      <c r="Q18" s="2" t="n">
        <f aca="false">COUNTIF(E18:P18,"P")</f>
        <v>2</v>
      </c>
      <c r="R18" s="2" t="n">
        <f aca="false">COUNTIF(E18:P18,"M")</f>
        <v>1</v>
      </c>
      <c r="S18" s="2" t="n">
        <f aca="false">COUNTIF(E18:P18,"T")</f>
        <v>0</v>
      </c>
      <c r="T18" s="10" t="n">
        <f aca="false">ROUND(Q18+R18/3+S18/4,0)</f>
        <v>2</v>
      </c>
      <c r="U18" s="11" t="n">
        <f aca="false">ROUND(T18*10/$W$1,0)</f>
        <v>2</v>
      </c>
      <c r="V18" s="2" t="s">
        <v>19</v>
      </c>
      <c r="W18" s="3" t="s">
        <v>17</v>
      </c>
      <c r="X18" s="2" t="s">
        <v>17</v>
      </c>
      <c r="Z18" s="2" t="s">
        <v>19</v>
      </c>
      <c r="AA18" s="2" t="s">
        <v>19</v>
      </c>
      <c r="AC18" s="2" t="s">
        <v>19</v>
      </c>
      <c r="AD18" s="2" t="s">
        <v>19</v>
      </c>
      <c r="AE18" s="2" t="s">
        <v>19</v>
      </c>
      <c r="AF18" s="2" t="s">
        <v>17</v>
      </c>
      <c r="AG18" s="2" t="s">
        <v>19</v>
      </c>
      <c r="AH18" s="9" t="s">
        <v>19</v>
      </c>
      <c r="AI18" s="9" t="s">
        <v>17</v>
      </c>
      <c r="AJ18" s="3" t="n">
        <f aca="false">COUNTIF(V18:AG18,"P")</f>
        <v>3</v>
      </c>
      <c r="AK18" s="3" t="n">
        <f aca="false">COUNTIF(V18:AG18,"M")</f>
        <v>0</v>
      </c>
      <c r="AL18" s="3" t="n">
        <f aca="false">COUNTIF(V18:AG18,"T")</f>
        <v>0</v>
      </c>
      <c r="AM18" s="8" t="n">
        <f aca="false">ROUND(AJ18+AK18/2+AL18/4,0)</f>
        <v>3</v>
      </c>
    </row>
    <row r="19" customFormat="false" ht="15" hidden="false" customHeight="false" outlineLevel="0" collapsed="false">
      <c r="A19" s="1" t="n">
        <v>17</v>
      </c>
      <c r="B19" s="3" t="s">
        <v>70</v>
      </c>
      <c r="C19" s="3" t="s">
        <v>71</v>
      </c>
      <c r="D19" s="3" t="s">
        <v>72</v>
      </c>
      <c r="E19" s="1" t="s">
        <v>19</v>
      </c>
      <c r="F19" s="1" t="s">
        <v>17</v>
      </c>
      <c r="G19" s="1" t="s">
        <v>17</v>
      </c>
      <c r="I19" s="1" t="s">
        <v>17</v>
      </c>
      <c r="K19" s="1" t="s">
        <v>17</v>
      </c>
      <c r="L19" s="1" t="s">
        <v>17</v>
      </c>
      <c r="M19" s="1" t="s">
        <v>17</v>
      </c>
      <c r="O19" s="1" t="s">
        <v>17</v>
      </c>
      <c r="P19" s="1" t="s">
        <v>17</v>
      </c>
      <c r="Q19" s="1" t="n">
        <f aca="false">COUNTIF(E19:P19,"P")</f>
        <v>8</v>
      </c>
      <c r="R19" s="1" t="n">
        <f aca="false">COUNTIF(E19:P19,"M")</f>
        <v>0</v>
      </c>
      <c r="S19" s="1" t="n">
        <f aca="false">COUNTIF(E19:P19,"T")</f>
        <v>0</v>
      </c>
      <c r="T19" s="6" t="n">
        <f aca="false">ROUND(Q19+R19/3+S19/4,0)</f>
        <v>8</v>
      </c>
      <c r="U19" s="7" t="n">
        <f aca="false">ROUND(T19*10/$W$1,0)</f>
        <v>9</v>
      </c>
      <c r="V19" s="1" t="s">
        <v>19</v>
      </c>
      <c r="W19" s="3" t="s">
        <v>17</v>
      </c>
      <c r="X19" s="1" t="s">
        <v>17</v>
      </c>
      <c r="Z19" s="1" t="s">
        <v>17</v>
      </c>
      <c r="AA19" s="1" t="s">
        <v>17</v>
      </c>
      <c r="AB19" s="1" t="s">
        <v>20</v>
      </c>
      <c r="AC19" s="1" t="s">
        <v>17</v>
      </c>
      <c r="AD19" s="1" t="s">
        <v>17</v>
      </c>
      <c r="AE19" s="3" t="s">
        <v>17</v>
      </c>
      <c r="AF19" s="3" t="s">
        <v>17</v>
      </c>
      <c r="AG19" s="3" t="s">
        <v>17</v>
      </c>
      <c r="AH19" s="2" t="s">
        <v>19</v>
      </c>
      <c r="AI19" s="2" t="s">
        <v>17</v>
      </c>
      <c r="AJ19" s="3" t="n">
        <f aca="false">COUNTIF(V19:AG19,"P")</f>
        <v>9</v>
      </c>
      <c r="AK19" s="3" t="n">
        <f aca="false">COUNTIF(V19:AG19,"M")</f>
        <v>0</v>
      </c>
      <c r="AL19" s="3" t="n">
        <f aca="false">COUNTIF(V19:AG19,"T")</f>
        <v>0</v>
      </c>
      <c r="AM19" s="8" t="n">
        <f aca="false">ROUND(AJ19+AK19/2+AL19/4,0)</f>
        <v>9</v>
      </c>
    </row>
    <row r="20" customFormat="false" ht="15" hidden="false" customHeight="false" outlineLevel="0" collapsed="false">
      <c r="A20" s="1" t="n">
        <v>18</v>
      </c>
      <c r="B20" s="3" t="s">
        <v>73</v>
      </c>
      <c r="C20" s="3" t="s">
        <v>74</v>
      </c>
      <c r="D20" s="3" t="s">
        <v>75</v>
      </c>
      <c r="E20" s="1" t="s">
        <v>17</v>
      </c>
      <c r="F20" s="1" t="s">
        <v>17</v>
      </c>
      <c r="G20" s="1" t="s">
        <v>17</v>
      </c>
      <c r="I20" s="1" t="s">
        <v>17</v>
      </c>
      <c r="K20" s="1" t="s">
        <v>17</v>
      </c>
      <c r="L20" s="1" t="s">
        <v>17</v>
      </c>
      <c r="M20" s="1" t="s">
        <v>66</v>
      </c>
      <c r="N20" s="13" t="n">
        <v>0.548611111111111</v>
      </c>
      <c r="O20" s="1" t="s">
        <v>17</v>
      </c>
      <c r="P20" s="1" t="s">
        <v>17</v>
      </c>
      <c r="Q20" s="1" t="n">
        <f aca="false">COUNTIF(E20:P20,"P")</f>
        <v>8</v>
      </c>
      <c r="R20" s="1" t="n">
        <f aca="false">COUNTIF(E20:P20,"M")</f>
        <v>1</v>
      </c>
      <c r="S20" s="1" t="n">
        <f aca="false">COUNTIF(E20:P20,"T")</f>
        <v>0</v>
      </c>
      <c r="T20" s="6" t="n">
        <f aca="false">ROUND(Q20+R20/3+S20/4,0)</f>
        <v>8</v>
      </c>
      <c r="U20" s="7" t="n">
        <f aca="false">ROUND(T20*10/$W$1,0)</f>
        <v>9</v>
      </c>
      <c r="V20" s="1" t="s">
        <v>19</v>
      </c>
      <c r="W20" s="3" t="s">
        <v>17</v>
      </c>
      <c r="X20" s="1" t="s">
        <v>17</v>
      </c>
      <c r="Z20" s="1" t="s">
        <v>17</v>
      </c>
      <c r="AA20" s="1" t="s">
        <v>17</v>
      </c>
      <c r="AB20" s="1" t="s">
        <v>20</v>
      </c>
      <c r="AC20" s="1" t="s">
        <v>17</v>
      </c>
      <c r="AD20" s="1" t="s">
        <v>17</v>
      </c>
      <c r="AE20" s="3" t="s">
        <v>17</v>
      </c>
      <c r="AF20" s="3" t="s">
        <v>17</v>
      </c>
      <c r="AG20" s="3" t="s">
        <v>17</v>
      </c>
      <c r="AH20" s="2" t="s">
        <v>17</v>
      </c>
      <c r="AI20" s="2" t="s">
        <v>17</v>
      </c>
      <c r="AJ20" s="3" t="n">
        <f aca="false">COUNTIF(V20:AG20,"P")</f>
        <v>9</v>
      </c>
      <c r="AK20" s="3" t="n">
        <f aca="false">COUNTIF(V20:AG20,"M")</f>
        <v>0</v>
      </c>
      <c r="AL20" s="3" t="n">
        <f aca="false">COUNTIF(V20:AG20,"T")</f>
        <v>0</v>
      </c>
      <c r="AM20" s="8" t="n">
        <f aca="false">ROUND(AJ20+AK20/2+AL20/4,0)</f>
        <v>9</v>
      </c>
    </row>
    <row r="21" customFormat="false" ht="15" hidden="false" customHeight="false" outlineLevel="0" collapsed="false">
      <c r="A21" s="1" t="n">
        <v>19</v>
      </c>
      <c r="B21" s="3" t="s">
        <v>76</v>
      </c>
      <c r="C21" s="3" t="s">
        <v>77</v>
      </c>
      <c r="D21" s="3" t="s">
        <v>78</v>
      </c>
      <c r="E21" s="1" t="s">
        <v>17</v>
      </c>
      <c r="F21" s="1" t="s">
        <v>17</v>
      </c>
      <c r="G21" s="1" t="s">
        <v>17</v>
      </c>
      <c r="I21" s="1" t="s">
        <v>17</v>
      </c>
      <c r="K21" s="1" t="s">
        <v>17</v>
      </c>
      <c r="L21" s="1" t="s">
        <v>17</v>
      </c>
      <c r="M21" s="1" t="s">
        <v>17</v>
      </c>
      <c r="O21" s="1" t="s">
        <v>17</v>
      </c>
      <c r="P21" s="1" t="s">
        <v>17</v>
      </c>
      <c r="Q21" s="1" t="n">
        <f aca="false">COUNTIF(E21:P21,"P")</f>
        <v>9</v>
      </c>
      <c r="R21" s="1" t="n">
        <f aca="false">COUNTIF(E21:P21,"M")</f>
        <v>0</v>
      </c>
      <c r="S21" s="1" t="n">
        <f aca="false">COUNTIF(E21:P21,"T")</f>
        <v>0</v>
      </c>
      <c r="T21" s="6" t="n">
        <f aca="false">ROUND(Q21+R21/3+S21/4,0)</f>
        <v>9</v>
      </c>
      <c r="U21" s="7" t="n">
        <f aca="false">ROUND(T21*10/$W$1,0)</f>
        <v>10</v>
      </c>
      <c r="V21" s="1" t="s">
        <v>19</v>
      </c>
      <c r="W21" s="3" t="s">
        <v>17</v>
      </c>
      <c r="X21" s="1" t="s">
        <v>17</v>
      </c>
      <c r="Z21" s="1" t="s">
        <v>17</v>
      </c>
      <c r="AA21" s="1" t="s">
        <v>17</v>
      </c>
      <c r="AB21" s="1" t="s">
        <v>20</v>
      </c>
      <c r="AC21" s="1" t="s">
        <v>19</v>
      </c>
      <c r="AD21" s="1" t="s">
        <v>19</v>
      </c>
      <c r="AE21" s="3" t="s">
        <v>19</v>
      </c>
      <c r="AF21" s="3" t="s">
        <v>17</v>
      </c>
      <c r="AG21" s="3" t="s">
        <v>17</v>
      </c>
      <c r="AH21" s="2" t="s">
        <v>19</v>
      </c>
      <c r="AI21" s="2" t="s">
        <v>17</v>
      </c>
      <c r="AJ21" s="3" t="n">
        <f aca="false">COUNTIF(V21:AG21,"P")</f>
        <v>6</v>
      </c>
      <c r="AK21" s="3" t="n">
        <f aca="false">COUNTIF(V21:AG21,"M")</f>
        <v>0</v>
      </c>
      <c r="AL21" s="3" t="n">
        <f aca="false">COUNTIF(V21:AG21,"T")</f>
        <v>0</v>
      </c>
      <c r="AM21" s="8" t="n">
        <f aca="false">ROUND(AJ21+AK21/2+AL21/4,0)</f>
        <v>6</v>
      </c>
    </row>
    <row r="22" customFormat="false" ht="15" hidden="false" customHeight="false" outlineLevel="0" collapsed="false">
      <c r="A22" s="1" t="n">
        <v>20</v>
      </c>
      <c r="B22" s="3" t="s">
        <v>79</v>
      </c>
      <c r="C22" s="3" t="s">
        <v>80</v>
      </c>
      <c r="D22" s="3" t="s">
        <v>81</v>
      </c>
      <c r="E22" s="1" t="s">
        <v>19</v>
      </c>
      <c r="F22" s="1" t="s">
        <v>19</v>
      </c>
      <c r="G22" s="1" t="s">
        <v>17</v>
      </c>
      <c r="I22" s="1" t="s">
        <v>19</v>
      </c>
      <c r="K22" s="1" t="s">
        <v>19</v>
      </c>
      <c r="L22" s="1" t="s">
        <v>19</v>
      </c>
      <c r="M22" s="1" t="s">
        <v>82</v>
      </c>
      <c r="N22" s="13" t="n">
        <v>0.576388888888889</v>
      </c>
      <c r="O22" s="1" t="s">
        <v>19</v>
      </c>
      <c r="P22" s="1" t="s">
        <v>19</v>
      </c>
      <c r="Q22" s="1" t="n">
        <f aca="false">COUNTIF(E22:P22,"P")</f>
        <v>1</v>
      </c>
      <c r="R22" s="1" t="n">
        <f aca="false">COUNTIF(E22:P22,"M")</f>
        <v>0</v>
      </c>
      <c r="S22" s="1" t="n">
        <f aca="false">COUNTIF(E22:P22,"T")</f>
        <v>1</v>
      </c>
      <c r="T22" s="6" t="n">
        <f aca="false">ROUND(Q22+R22/3+S22/4,0)</f>
        <v>1</v>
      </c>
      <c r="U22" s="7" t="n">
        <f aca="false">ROUND(T22*10/$W$1,0)</f>
        <v>1</v>
      </c>
      <c r="V22" s="1" t="s">
        <v>19</v>
      </c>
      <c r="W22" s="3" t="s">
        <v>17</v>
      </c>
      <c r="X22" s="1" t="s">
        <v>19</v>
      </c>
      <c r="Z22" s="1" t="s">
        <v>19</v>
      </c>
      <c r="AA22" s="1" t="s">
        <v>19</v>
      </c>
      <c r="AC22" s="1" t="s">
        <v>19</v>
      </c>
      <c r="AD22" s="1" t="s">
        <v>19</v>
      </c>
      <c r="AE22" s="3" t="s">
        <v>19</v>
      </c>
      <c r="AF22" s="3" t="s">
        <v>19</v>
      </c>
      <c r="AG22" s="3" t="s">
        <v>19</v>
      </c>
      <c r="AH22" s="2" t="s">
        <v>17</v>
      </c>
      <c r="AI22" s="2" t="s">
        <v>17</v>
      </c>
      <c r="AJ22" s="3" t="n">
        <f aca="false">COUNTIF(V22:AG22,"P")</f>
        <v>1</v>
      </c>
      <c r="AK22" s="3" t="n">
        <f aca="false">COUNTIF(V22:AG22,"M")</f>
        <v>0</v>
      </c>
      <c r="AL22" s="3" t="n">
        <f aca="false">COUNTIF(V22:AG22,"T")</f>
        <v>0</v>
      </c>
      <c r="AM22" s="8" t="n">
        <f aca="false">ROUND(AJ22+AK22/2+AL22/4,0)</f>
        <v>1</v>
      </c>
    </row>
    <row r="23" customFormat="false" ht="15" hidden="false" customHeight="false" outlineLevel="0" collapsed="false">
      <c r="A23" s="1" t="n">
        <v>21</v>
      </c>
      <c r="B23" s="3" t="s">
        <v>83</v>
      </c>
      <c r="C23" s="3" t="s">
        <v>84</v>
      </c>
      <c r="D23" s="3" t="s">
        <v>85</v>
      </c>
      <c r="E23" s="1" t="s">
        <v>17</v>
      </c>
      <c r="F23" s="1" t="s">
        <v>17</v>
      </c>
      <c r="G23" s="1" t="s">
        <v>17</v>
      </c>
      <c r="I23" s="1" t="s">
        <v>17</v>
      </c>
      <c r="K23" s="1" t="s">
        <v>17</v>
      </c>
      <c r="L23" s="1" t="s">
        <v>17</v>
      </c>
      <c r="M23" s="1" t="s">
        <v>17</v>
      </c>
      <c r="O23" s="1" t="s">
        <v>17</v>
      </c>
      <c r="P23" s="1" t="s">
        <v>17</v>
      </c>
      <c r="Q23" s="1" t="n">
        <f aca="false">COUNTIF(E23:P23,"P")</f>
        <v>9</v>
      </c>
      <c r="R23" s="1" t="n">
        <f aca="false">COUNTIF(E23:P23,"M")</f>
        <v>0</v>
      </c>
      <c r="S23" s="1" t="n">
        <f aca="false">COUNTIF(E23:P23,"T")</f>
        <v>0</v>
      </c>
      <c r="T23" s="6" t="n">
        <f aca="false">ROUND(Q23+R23/3+S23/4,0)</f>
        <v>9</v>
      </c>
      <c r="U23" s="7" t="n">
        <f aca="false">ROUND(T23*10/$W$1,0)</f>
        <v>10</v>
      </c>
      <c r="V23" s="1" t="s">
        <v>17</v>
      </c>
      <c r="W23" s="3" t="s">
        <v>17</v>
      </c>
      <c r="X23" s="1" t="s">
        <v>17</v>
      </c>
      <c r="Z23" s="1" t="s">
        <v>17</v>
      </c>
      <c r="AA23" s="1" t="s">
        <v>17</v>
      </c>
      <c r="AB23" s="1" t="s">
        <v>20</v>
      </c>
      <c r="AC23" s="1" t="s">
        <v>17</v>
      </c>
      <c r="AD23" s="1" t="s">
        <v>17</v>
      </c>
      <c r="AE23" s="3" t="s">
        <v>17</v>
      </c>
      <c r="AF23" s="3" t="s">
        <v>17</v>
      </c>
      <c r="AG23" s="3" t="s">
        <v>17</v>
      </c>
      <c r="AH23" s="2" t="s">
        <v>19</v>
      </c>
      <c r="AI23" s="2" t="s">
        <v>19</v>
      </c>
      <c r="AJ23" s="3" t="n">
        <f aca="false">COUNTIF(V23:AG23,"P")</f>
        <v>10</v>
      </c>
      <c r="AK23" s="3" t="n">
        <f aca="false">COUNTIF(V23:AG23,"M")</f>
        <v>0</v>
      </c>
      <c r="AL23" s="3" t="n">
        <f aca="false">COUNTIF(V23:AG23,"T")</f>
        <v>0</v>
      </c>
      <c r="AM23" s="8" t="n">
        <f aca="false">ROUND(AJ23+AK23/2+AL23/4,0)</f>
        <v>10</v>
      </c>
    </row>
    <row r="24" customFormat="false" ht="15" hidden="false" customHeight="false" outlineLevel="0" collapsed="false">
      <c r="A24" s="1" t="n">
        <v>22</v>
      </c>
      <c r="B24" s="3" t="s">
        <v>86</v>
      </c>
      <c r="C24" s="3" t="s">
        <v>87</v>
      </c>
      <c r="D24" s="3" t="s">
        <v>88</v>
      </c>
      <c r="E24" s="1" t="s">
        <v>17</v>
      </c>
      <c r="F24" s="1" t="s">
        <v>17</v>
      </c>
      <c r="G24" s="1" t="s">
        <v>19</v>
      </c>
      <c r="I24" s="1" t="s">
        <v>17</v>
      </c>
      <c r="K24" s="1" t="s">
        <v>17</v>
      </c>
      <c r="L24" s="1" t="s">
        <v>17</v>
      </c>
      <c r="M24" s="1" t="s">
        <v>17</v>
      </c>
      <c r="O24" s="1" t="s">
        <v>17</v>
      </c>
      <c r="P24" s="1" t="s">
        <v>19</v>
      </c>
      <c r="Q24" s="1" t="n">
        <f aca="false">COUNTIF(E24:P24,"P")</f>
        <v>7</v>
      </c>
      <c r="R24" s="1" t="n">
        <f aca="false">COUNTIF(E24:P24,"M")</f>
        <v>0</v>
      </c>
      <c r="S24" s="1" t="n">
        <f aca="false">COUNTIF(E24:P24,"T")</f>
        <v>0</v>
      </c>
      <c r="T24" s="6" t="n">
        <f aca="false">ROUND(Q24+R24/3+S24/4,0)</f>
        <v>7</v>
      </c>
      <c r="U24" s="7" t="n">
        <f aca="false">ROUND(T24*10/$W$1,0)</f>
        <v>8</v>
      </c>
      <c r="V24" s="1" t="s">
        <v>17</v>
      </c>
      <c r="W24" s="3" t="s">
        <v>17</v>
      </c>
      <c r="X24" s="1" t="s">
        <v>19</v>
      </c>
      <c r="Z24" s="1" t="s">
        <v>17</v>
      </c>
      <c r="AA24" s="1" t="s">
        <v>17</v>
      </c>
      <c r="AB24" s="1" t="s">
        <v>62</v>
      </c>
      <c r="AC24" s="1" t="s">
        <v>17</v>
      </c>
      <c r="AD24" s="1" t="s">
        <v>17</v>
      </c>
      <c r="AE24" s="3" t="s">
        <v>17</v>
      </c>
      <c r="AF24" s="3" t="s">
        <v>17</v>
      </c>
      <c r="AG24" s="3" t="s">
        <v>17</v>
      </c>
      <c r="AH24" s="2" t="s">
        <v>17</v>
      </c>
      <c r="AI24" s="2" t="s">
        <v>19</v>
      </c>
      <c r="AJ24" s="3" t="n">
        <f aca="false">COUNTIF(V24:AG24,"P")</f>
        <v>9</v>
      </c>
      <c r="AK24" s="3" t="n">
        <f aca="false">COUNTIF(V24:AG24,"M")</f>
        <v>0</v>
      </c>
      <c r="AL24" s="3" t="n">
        <f aca="false">COUNTIF(V24:AG24,"T")</f>
        <v>0</v>
      </c>
      <c r="AM24" s="8" t="n">
        <f aca="false">ROUND(AJ24+AK24/2+AL24/4,0)</f>
        <v>9</v>
      </c>
    </row>
    <row r="25" customFormat="false" ht="15" hidden="false" customHeight="false" outlineLevel="0" collapsed="false">
      <c r="A25" s="1" t="n">
        <v>23</v>
      </c>
      <c r="B25" s="3" t="s">
        <v>89</v>
      </c>
      <c r="C25" s="3" t="s">
        <v>90</v>
      </c>
      <c r="D25" s="3" t="s">
        <v>91</v>
      </c>
      <c r="E25" s="1" t="s">
        <v>17</v>
      </c>
      <c r="F25" s="1" t="s">
        <v>17</v>
      </c>
      <c r="G25" s="1" t="s">
        <v>17</v>
      </c>
      <c r="I25" s="1" t="s">
        <v>17</v>
      </c>
      <c r="K25" s="1" t="s">
        <v>17</v>
      </c>
      <c r="L25" s="1" t="s">
        <v>17</v>
      </c>
      <c r="M25" s="1" t="s">
        <v>19</v>
      </c>
      <c r="O25" s="1" t="s">
        <v>17</v>
      </c>
      <c r="P25" s="1" t="s">
        <v>17</v>
      </c>
      <c r="Q25" s="1" t="n">
        <f aca="false">COUNTIF(E25:P25,"P")</f>
        <v>8</v>
      </c>
      <c r="R25" s="1" t="n">
        <f aca="false">COUNTIF(E25:P25,"M")</f>
        <v>0</v>
      </c>
      <c r="S25" s="1" t="n">
        <f aca="false">COUNTIF(E25:P25,"T")</f>
        <v>0</v>
      </c>
      <c r="T25" s="6" t="n">
        <f aca="false">ROUND(Q25+R25/3+S25/4,0)</f>
        <v>8</v>
      </c>
      <c r="U25" s="7" t="n">
        <f aca="false">ROUND(T25*10/$W$1,0)</f>
        <v>9</v>
      </c>
      <c r="V25" s="1" t="s">
        <v>17</v>
      </c>
      <c r="W25" s="3" t="s">
        <v>17</v>
      </c>
      <c r="X25" s="1" t="s">
        <v>17</v>
      </c>
      <c r="Z25" s="1" t="s">
        <v>17</v>
      </c>
      <c r="AA25" s="1" t="s">
        <v>17</v>
      </c>
      <c r="AB25" s="1" t="s">
        <v>20</v>
      </c>
      <c r="AC25" s="1" t="s">
        <v>17</v>
      </c>
      <c r="AD25" s="1" t="s">
        <v>17</v>
      </c>
      <c r="AE25" s="3" t="s">
        <v>17</v>
      </c>
      <c r="AF25" s="3" t="s">
        <v>17</v>
      </c>
      <c r="AG25" s="3" t="s">
        <v>17</v>
      </c>
      <c r="AH25" s="2" t="s">
        <v>19</v>
      </c>
      <c r="AI25" s="2" t="s">
        <v>17</v>
      </c>
      <c r="AJ25" s="3" t="n">
        <f aca="false">COUNTIF(V25:AG25,"P")</f>
        <v>10</v>
      </c>
      <c r="AK25" s="3" t="n">
        <f aca="false">COUNTIF(V25:AG25,"M")</f>
        <v>0</v>
      </c>
      <c r="AL25" s="3" t="n">
        <f aca="false">COUNTIF(V25:AG25,"T")</f>
        <v>0</v>
      </c>
      <c r="AM25" s="8" t="n">
        <f aca="false">ROUND(AJ25+AK25/2+AL25/4,0)</f>
        <v>10</v>
      </c>
    </row>
    <row r="26" customFormat="false" ht="15" hidden="false" customHeight="false" outlineLevel="0" collapsed="false">
      <c r="A26" s="1" t="n">
        <v>24</v>
      </c>
      <c r="B26" s="3" t="s">
        <v>92</v>
      </c>
      <c r="C26" s="3" t="s">
        <v>93</v>
      </c>
      <c r="D26" s="3" t="s">
        <v>94</v>
      </c>
      <c r="E26" s="1" t="s">
        <v>17</v>
      </c>
      <c r="F26" s="1" t="s">
        <v>17</v>
      </c>
      <c r="G26" s="1" t="s">
        <v>17</v>
      </c>
      <c r="I26" s="1" t="s">
        <v>17</v>
      </c>
      <c r="K26" s="1" t="s">
        <v>17</v>
      </c>
      <c r="L26" s="1" t="s">
        <v>17</v>
      </c>
      <c r="M26" s="1" t="s">
        <v>17</v>
      </c>
      <c r="O26" s="1" t="s">
        <v>17</v>
      </c>
      <c r="P26" s="1" t="s">
        <v>19</v>
      </c>
      <c r="Q26" s="1" t="n">
        <f aca="false">COUNTIF(E26:P26,"P")</f>
        <v>8</v>
      </c>
      <c r="R26" s="1" t="n">
        <f aca="false">COUNTIF(E26:P26,"M")</f>
        <v>0</v>
      </c>
      <c r="S26" s="1" t="n">
        <f aca="false">COUNTIF(E26:P26,"T")</f>
        <v>0</v>
      </c>
      <c r="T26" s="6" t="n">
        <f aca="false">ROUND(Q26+R26/3+S26/4,0)</f>
        <v>8</v>
      </c>
      <c r="U26" s="7" t="n">
        <f aca="false">ROUND(T26*10/$W$1,0)</f>
        <v>9</v>
      </c>
      <c r="V26" s="1" t="s">
        <v>17</v>
      </c>
      <c r="W26" s="3" t="s">
        <v>17</v>
      </c>
      <c r="X26" s="1" t="s">
        <v>17</v>
      </c>
      <c r="Z26" s="2" t="s">
        <v>17</v>
      </c>
      <c r="AA26" s="1" t="s">
        <v>17</v>
      </c>
      <c r="AB26" s="1" t="s">
        <v>20</v>
      </c>
      <c r="AC26" s="1" t="s">
        <v>17</v>
      </c>
      <c r="AD26" s="1" t="s">
        <v>17</v>
      </c>
      <c r="AE26" s="3" t="s">
        <v>17</v>
      </c>
      <c r="AF26" s="3" t="s">
        <v>17</v>
      </c>
      <c r="AG26" s="9" t="s">
        <v>17</v>
      </c>
      <c r="AH26" s="2" t="s">
        <v>17</v>
      </c>
      <c r="AI26" s="2" t="s">
        <v>17</v>
      </c>
      <c r="AJ26" s="3" t="n">
        <f aca="false">COUNTIF(V26:AG26,"P")</f>
        <v>10</v>
      </c>
      <c r="AK26" s="3" t="n">
        <f aca="false">COUNTIF(V26:AG26,"M")</f>
        <v>0</v>
      </c>
      <c r="AL26" s="3" t="n">
        <f aca="false">COUNTIF(V26:AG26,"T")</f>
        <v>0</v>
      </c>
      <c r="AM26" s="8" t="n">
        <f aca="false">ROUND(AJ26+AK26/2+AL26/4,0)</f>
        <v>10</v>
      </c>
    </row>
    <row r="27" customFormat="false" ht="15" hidden="false" customHeight="false" outlineLevel="0" collapsed="false">
      <c r="A27" s="1" t="n">
        <v>25</v>
      </c>
      <c r="B27" s="3" t="s">
        <v>95</v>
      </c>
      <c r="C27" s="3" t="s">
        <v>96</v>
      </c>
      <c r="D27" s="3" t="s">
        <v>97</v>
      </c>
      <c r="E27" s="1" t="s">
        <v>17</v>
      </c>
      <c r="F27" s="1" t="s">
        <v>17</v>
      </c>
      <c r="G27" s="1" t="s">
        <v>17</v>
      </c>
      <c r="I27" s="1" t="s">
        <v>17</v>
      </c>
      <c r="K27" s="1" t="s">
        <v>17</v>
      </c>
      <c r="L27" s="1" t="s">
        <v>17</v>
      </c>
      <c r="M27" s="1" t="s">
        <v>17</v>
      </c>
      <c r="O27" s="1" t="s">
        <v>17</v>
      </c>
      <c r="P27" s="1" t="s">
        <v>17</v>
      </c>
      <c r="Q27" s="1" t="n">
        <f aca="false">COUNTIF(E27:P27,"P")</f>
        <v>9</v>
      </c>
      <c r="R27" s="1" t="n">
        <f aca="false">COUNTIF(E27:P27,"M")</f>
        <v>0</v>
      </c>
      <c r="S27" s="1" t="n">
        <f aca="false">COUNTIF(E27:P27,"T")</f>
        <v>0</v>
      </c>
      <c r="T27" s="6" t="n">
        <f aca="false">ROUND(Q27+R27/3+S27/4,0)</f>
        <v>9</v>
      </c>
      <c r="U27" s="7" t="n">
        <f aca="false">ROUND(T27*10/$W$1,0)</f>
        <v>10</v>
      </c>
      <c r="V27" s="1" t="s">
        <v>17</v>
      </c>
      <c r="W27" s="3" t="s">
        <v>17</v>
      </c>
      <c r="X27" s="1" t="s">
        <v>17</v>
      </c>
      <c r="Z27" s="1" t="s">
        <v>17</v>
      </c>
      <c r="AA27" s="1" t="s">
        <v>17</v>
      </c>
      <c r="AB27" s="1" t="s">
        <v>20</v>
      </c>
      <c r="AC27" s="1" t="s">
        <v>17</v>
      </c>
      <c r="AD27" s="1" t="s">
        <v>17</v>
      </c>
      <c r="AE27" s="3" t="s">
        <v>17</v>
      </c>
      <c r="AF27" s="3" t="s">
        <v>17</v>
      </c>
      <c r="AG27" s="3" t="s">
        <v>19</v>
      </c>
      <c r="AH27" s="2" t="s">
        <v>17</v>
      </c>
      <c r="AI27" s="2" t="s">
        <v>17</v>
      </c>
      <c r="AJ27" s="3" t="n">
        <f aca="false">COUNTIF(V27:AG27,"P")</f>
        <v>9</v>
      </c>
      <c r="AK27" s="3" t="n">
        <f aca="false">COUNTIF(V27:AG27,"M")</f>
        <v>0</v>
      </c>
      <c r="AL27" s="3" t="n">
        <f aca="false">COUNTIF(V27:AG27,"T")</f>
        <v>0</v>
      </c>
      <c r="AM27" s="8" t="n">
        <f aca="false">ROUND(AJ27+AK27/2+AL27/4,0)</f>
        <v>9</v>
      </c>
    </row>
    <row r="28" s="2" customFormat="true" ht="15" hidden="false" customHeight="false" outlineLevel="0" collapsed="false">
      <c r="A28" s="2" t="n">
        <v>26</v>
      </c>
      <c r="B28" s="9" t="s">
        <v>98</v>
      </c>
      <c r="C28" s="9" t="s">
        <v>99</v>
      </c>
      <c r="D28" s="9" t="s">
        <v>100</v>
      </c>
      <c r="E28" s="2" t="s">
        <v>19</v>
      </c>
      <c r="F28" s="2" t="s">
        <v>19</v>
      </c>
      <c r="G28" s="2" t="s">
        <v>19</v>
      </c>
      <c r="H28" s="2" t="s">
        <v>37</v>
      </c>
      <c r="I28" s="2" t="s">
        <v>19</v>
      </c>
      <c r="K28" s="2" t="s">
        <v>19</v>
      </c>
      <c r="L28" s="2" t="s">
        <v>19</v>
      </c>
      <c r="M28" s="2" t="s">
        <v>66</v>
      </c>
      <c r="N28" s="12" t="n">
        <v>0.548611111111111</v>
      </c>
      <c r="O28" s="2" t="s">
        <v>19</v>
      </c>
      <c r="P28" s="2" t="s">
        <v>19</v>
      </c>
      <c r="Q28" s="2" t="n">
        <f aca="false">COUNTIF(E28:P28,"P")</f>
        <v>0</v>
      </c>
      <c r="R28" s="2" t="n">
        <f aca="false">COUNTIF(E28:P28,"M")</f>
        <v>1</v>
      </c>
      <c r="S28" s="2" t="n">
        <f aca="false">COUNTIF(E28:P28,"T")</f>
        <v>0</v>
      </c>
      <c r="T28" s="10" t="n">
        <f aca="false">ROUND(Q28+R28/3+S28/4,0)</f>
        <v>0</v>
      </c>
      <c r="U28" s="11" t="n">
        <f aca="false">ROUND(T28*10/$W$1,0)</f>
        <v>0</v>
      </c>
      <c r="V28" s="2" t="s">
        <v>19</v>
      </c>
      <c r="W28" s="3" t="s">
        <v>17</v>
      </c>
      <c r="X28" s="2" t="s">
        <v>19</v>
      </c>
      <c r="Y28" s="2" t="s">
        <v>101</v>
      </c>
      <c r="Z28" s="2" t="s">
        <v>19</v>
      </c>
      <c r="AA28" s="2" t="s">
        <v>19</v>
      </c>
      <c r="AC28" s="2" t="s">
        <v>19</v>
      </c>
      <c r="AD28" s="2" t="s">
        <v>19</v>
      </c>
      <c r="AE28" s="2" t="s">
        <v>19</v>
      </c>
      <c r="AF28" s="2" t="s">
        <v>19</v>
      </c>
      <c r="AG28" s="2" t="s">
        <v>19</v>
      </c>
      <c r="AH28" s="9" t="s">
        <v>19</v>
      </c>
      <c r="AI28" s="9" t="s">
        <v>19</v>
      </c>
      <c r="AJ28" s="3" t="n">
        <f aca="false">COUNTIF(V28:AG28,"P")</f>
        <v>1</v>
      </c>
      <c r="AK28" s="3" t="n">
        <f aca="false">COUNTIF(V28:AG28,"M")</f>
        <v>0</v>
      </c>
      <c r="AL28" s="3" t="n">
        <f aca="false">COUNTIF(V28:AG28,"T")</f>
        <v>0</v>
      </c>
      <c r="AM28" s="8" t="n">
        <f aca="false">ROUND(AJ28+AK28/2+AL28/4,0)</f>
        <v>1</v>
      </c>
    </row>
    <row r="29" customFormat="false" ht="15" hidden="false" customHeight="false" outlineLevel="0" collapsed="false">
      <c r="E29" s="1" t="n">
        <f aca="false">COUNTIF(E3:E28,"p")</f>
        <v>19</v>
      </c>
      <c r="G29" s="1" t="n">
        <f aca="false">COUNTIF(G3:G28,"p")</f>
        <v>21</v>
      </c>
      <c r="I29" s="1" t="n">
        <f aca="false">COUNTIF(I3:I28,"p")</f>
        <v>20</v>
      </c>
      <c r="K29" s="1" t="n">
        <f aca="false">COUNTIF(K3:K28,"p")</f>
        <v>19</v>
      </c>
      <c r="L29" s="1" t="n">
        <f aca="false">COUNTIF(L3:L28,"p")</f>
        <v>20</v>
      </c>
      <c r="M29" s="1" t="n">
        <f aca="false">COUNTIF(M3:M28,"p")</f>
        <v>13</v>
      </c>
      <c r="O29" s="1" t="n">
        <f aca="false">COUNTIF(O3:O28,"p")</f>
        <v>19</v>
      </c>
      <c r="P29" s="1" t="n">
        <f aca="false">COUNTIF(P3:P28,"p")</f>
        <v>16</v>
      </c>
      <c r="V29" s="1" t="n">
        <f aca="false">COUNTIF(V3:V28,"p")</f>
        <v>15</v>
      </c>
      <c r="W29" s="3"/>
      <c r="X29" s="1" t="n">
        <f aca="false">COUNTIF(X3:X28,"p")</f>
        <v>20</v>
      </c>
      <c r="Z29" s="1" t="n">
        <f aca="false">COUNTIF(Z3:Z28,"p")</f>
        <v>19</v>
      </c>
      <c r="AA29" s="1" t="n">
        <f aca="false">COUNTIF(AA3:AA28,"p")</f>
        <v>20</v>
      </c>
      <c r="AC29" s="1" t="n">
        <f aca="false">COUNTIF(AC3:AC28,"p")</f>
        <v>16</v>
      </c>
      <c r="AD29" s="1" t="n">
        <f aca="false">COUNTIF(AD3:AD28,"p")</f>
        <v>17</v>
      </c>
      <c r="AE29" s="1" t="n">
        <f aca="false">COUNTIF(AE3:AE28,"p")</f>
        <v>18</v>
      </c>
      <c r="AF29" s="1" t="n">
        <f aca="false">COUNTIF(AF3:AF28,"p")</f>
        <v>20</v>
      </c>
      <c r="AG29" s="1" t="n">
        <f aca="false">COUNTIF(AG3:AG28,"p")</f>
        <v>15</v>
      </c>
      <c r="AH29" s="9" t="n">
        <f aca="false">COUNTIF(AH3:AH28,"p")</f>
        <v>13</v>
      </c>
      <c r="AI29" s="9"/>
    </row>
  </sheetData>
  <conditionalFormatting sqref="AM3:AM28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8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AH13" activeCellId="0" sqref="AH13"/>
    </sheetView>
  </sheetViews>
  <sheetFormatPr defaultColWidth="9.6953125" defaultRowHeight="15" zeroHeight="false" outlineLevelRow="0" outlineLevelCol="0"/>
  <cols>
    <col collapsed="false" customWidth="true" hidden="false" outlineLevel="0" max="2" min="2" style="1" width="18.83"/>
    <col collapsed="false" customWidth="true" hidden="true" outlineLevel="0" max="3" min="3" style="1" width="11.57"/>
    <col collapsed="false" customWidth="true" hidden="true" outlineLevel="0" max="5" min="4" style="1" width="10.7"/>
    <col collapsed="false" customWidth="true" hidden="true" outlineLevel="0" max="7" min="6" style="1" width="11.57"/>
    <col collapsed="false" customWidth="true" hidden="true" outlineLevel="0" max="8" min="8" style="1" width="11.81"/>
    <col collapsed="false" customWidth="true" hidden="true" outlineLevel="0" max="10" min="9" style="1" width="9.4"/>
    <col collapsed="false" customWidth="false" hidden="true" outlineLevel="0" max="12" min="11" style="1" width="9.67"/>
    <col collapsed="false" customWidth="true" hidden="true" outlineLevel="0" max="13" min="13" style="1" width="10.2"/>
    <col collapsed="false" customWidth="false" hidden="true" outlineLevel="0" max="18" min="14" style="1" width="9.67"/>
    <col collapsed="false" customWidth="false" hidden="false" outlineLevel="0" max="19" min="19" style="1" width="9.67"/>
    <col collapsed="false" customWidth="true" hidden="true" outlineLevel="0" max="20" min="20" style="1" width="18.83"/>
    <col collapsed="false" customWidth="true" hidden="true" outlineLevel="0" max="23" min="21" style="1" width="10.16"/>
    <col collapsed="false" customWidth="false" hidden="true" outlineLevel="0" max="24" min="24" style="1" width="9.68"/>
    <col collapsed="false" customWidth="false" hidden="false" outlineLevel="0" max="25" min="25" style="1" width="9.68"/>
  </cols>
  <sheetData>
    <row r="1" customFormat="false" ht="15" hidden="false" customHeight="false" outlineLevel="0" collapsed="false">
      <c r="A1" s="1"/>
      <c r="B1" s="3"/>
      <c r="S1" s="1" t="s">
        <v>102</v>
      </c>
      <c r="U1" s="4"/>
      <c r="X1" s="4"/>
      <c r="Y1" s="4"/>
      <c r="Z1" s="1"/>
      <c r="AA1" s="1"/>
      <c r="AD1" s="0" t="s">
        <v>103</v>
      </c>
      <c r="AF1" s="0" t="s">
        <v>104</v>
      </c>
    </row>
    <row r="2" customFormat="false" ht="15" hidden="false" customHeight="false" outlineLevel="0" collapsed="false">
      <c r="A2" s="1" t="s">
        <v>0</v>
      </c>
      <c r="B2" s="3" t="s">
        <v>2</v>
      </c>
      <c r="C2" s="1" t="s">
        <v>105</v>
      </c>
      <c r="D2" s="1" t="s">
        <v>106</v>
      </c>
      <c r="E2" s="1" t="s">
        <v>107</v>
      </c>
      <c r="F2" s="1" t="s">
        <v>106</v>
      </c>
      <c r="G2" s="1" t="s">
        <v>108</v>
      </c>
      <c r="H2" s="1" t="s">
        <v>106</v>
      </c>
      <c r="I2" s="1" t="s">
        <v>109</v>
      </c>
      <c r="J2" s="1" t="s">
        <v>110</v>
      </c>
      <c r="K2" s="1" t="s">
        <v>111</v>
      </c>
      <c r="L2" s="1" t="s">
        <v>112</v>
      </c>
      <c r="M2" s="1" t="s">
        <v>113</v>
      </c>
      <c r="N2" s="1" t="s">
        <v>106</v>
      </c>
      <c r="O2" s="1" t="s">
        <v>114</v>
      </c>
      <c r="P2" s="1" t="s">
        <v>115</v>
      </c>
      <c r="Q2" s="1" t="s">
        <v>11</v>
      </c>
      <c r="R2" s="1" t="s">
        <v>116</v>
      </c>
      <c r="S2" s="1" t="s">
        <v>117</v>
      </c>
      <c r="T2" s="1" t="s">
        <v>118</v>
      </c>
      <c r="U2" s="4" t="n">
        <v>45876</v>
      </c>
      <c r="W2" s="1" t="s">
        <v>119</v>
      </c>
      <c r="X2" s="4" t="n">
        <v>45876</v>
      </c>
      <c r="Y2" s="4" t="s">
        <v>114</v>
      </c>
      <c r="Z2" s="1" t="s">
        <v>120</v>
      </c>
      <c r="AA2" s="1" t="s">
        <v>121</v>
      </c>
      <c r="AB2" s="0" t="s">
        <v>109</v>
      </c>
      <c r="AC2" s="0" t="s">
        <v>122</v>
      </c>
      <c r="AD2" s="0" t="s">
        <v>116</v>
      </c>
      <c r="AE2" s="0" t="s">
        <v>123</v>
      </c>
      <c r="AF2" s="0" t="s">
        <v>124</v>
      </c>
      <c r="AG2" s="0" t="s">
        <v>125</v>
      </c>
    </row>
    <row r="3" customFormat="false" ht="15.65" hidden="false" customHeight="false" outlineLevel="0" collapsed="false">
      <c r="A3" s="1" t="n">
        <v>1</v>
      </c>
      <c r="B3" s="3" t="s">
        <v>15</v>
      </c>
      <c r="C3" s="1" t="n">
        <v>8</v>
      </c>
      <c r="E3" s="1" t="n">
        <v>10</v>
      </c>
      <c r="G3" s="1" t="n">
        <v>5</v>
      </c>
      <c r="I3" s="1" t="n">
        <v>3</v>
      </c>
      <c r="J3" s="1" t="n">
        <f aca="false">G3+I3/2</f>
        <v>6.5</v>
      </c>
      <c r="K3" s="1" t="n">
        <f aca="false">ROUND(AVERAGE(C3,E3,J3),0)</f>
        <v>8</v>
      </c>
      <c r="L3" s="8" t="str">
        <f aca="false">IF(K3&lt;7,"TEP","TEA")</f>
        <v>TEA</v>
      </c>
      <c r="M3" s="1" t="n">
        <v>10</v>
      </c>
      <c r="O3" s="7" t="n">
        <v>9</v>
      </c>
      <c r="P3" s="1" t="n">
        <f aca="false">ROUND(AVERAGE(O3,M3,K3),0)</f>
        <v>9</v>
      </c>
      <c r="Q3" s="1" t="n">
        <v>8</v>
      </c>
      <c r="R3" s="1" t="n">
        <v>8</v>
      </c>
      <c r="S3" s="8" t="n">
        <f aca="false">ROUND(AVERAGE(P3:R3),0)</f>
        <v>8</v>
      </c>
      <c r="T3" s="8"/>
      <c r="U3" s="8"/>
      <c r="V3" s="8"/>
      <c r="Y3" s="1" t="n">
        <v>8</v>
      </c>
      <c r="Z3" s="1" t="n">
        <v>7</v>
      </c>
      <c r="AA3" s="14" t="n">
        <v>1</v>
      </c>
      <c r="AC3" s="0" t="n">
        <f aca="false">AA3+AB3/2</f>
        <v>1</v>
      </c>
      <c r="AD3" s="0" t="n">
        <v>9</v>
      </c>
      <c r="AE3" s="15" t="n">
        <f aca="false">ROUND(AVERAGE(Y3,Z3,AC3),0)</f>
        <v>5</v>
      </c>
      <c r="AF3" s="15" t="n">
        <f aca="false">ROUND(AVERAGE(AD3,AE3),0)</f>
        <v>7</v>
      </c>
      <c r="AG3" s="15" t="n">
        <f aca="false">ROUND(AVERAGE(S3,AF3),0)</f>
        <v>8</v>
      </c>
    </row>
    <row r="4" customFormat="false" ht="15.65" hidden="false" customHeight="false" outlineLevel="0" collapsed="false">
      <c r="A4" s="1" t="n">
        <v>2</v>
      </c>
      <c r="B4" s="3" t="s">
        <v>22</v>
      </c>
      <c r="C4" s="16" t="n">
        <v>2</v>
      </c>
      <c r="D4" s="17" t="n">
        <v>45851</v>
      </c>
      <c r="E4" s="16" t="n">
        <v>3</v>
      </c>
      <c r="F4" s="17" t="n">
        <v>45851</v>
      </c>
      <c r="G4" s="16" t="n">
        <v>5</v>
      </c>
      <c r="H4" s="17" t="n">
        <v>45849</v>
      </c>
      <c r="I4" s="16" t="n">
        <v>5</v>
      </c>
      <c r="J4" s="1" t="n">
        <f aca="false">G4+I4/2</f>
        <v>7.5</v>
      </c>
      <c r="K4" s="1" t="n">
        <f aca="false">ROUND(AVERAGE(C4,E4,J4),0)</f>
        <v>4</v>
      </c>
      <c r="L4" s="8" t="str">
        <f aca="false">IF(K4&lt;7,"TEP","TEA")</f>
        <v>TEP</v>
      </c>
      <c r="M4" s="1" t="n">
        <v>1</v>
      </c>
      <c r="O4" s="7" t="n">
        <v>10</v>
      </c>
      <c r="P4" s="1" t="n">
        <f aca="false">ROUND(AVERAGE(O4,M4,K4),0)</f>
        <v>5</v>
      </c>
      <c r="Q4" s="1" t="n">
        <v>8</v>
      </c>
      <c r="R4" s="1" t="n">
        <v>8</v>
      </c>
      <c r="S4" s="8" t="n">
        <f aca="false">ROUND(AVERAGE(P4:R4),0)</f>
        <v>7</v>
      </c>
      <c r="T4" s="8"/>
      <c r="U4" s="8"/>
      <c r="V4" s="8"/>
      <c r="W4" s="1" t="n">
        <v>7</v>
      </c>
      <c r="Y4" s="1" t="n">
        <v>6</v>
      </c>
      <c r="Z4" s="1" t="n">
        <v>7</v>
      </c>
      <c r="AA4" s="0" t="n">
        <v>10</v>
      </c>
      <c r="AC4" s="15" t="n">
        <f aca="false">AA4+AB4/2</f>
        <v>10</v>
      </c>
      <c r="AD4" s="0" t="n">
        <v>9</v>
      </c>
      <c r="AE4" s="15" t="n">
        <f aca="false">ROUND(AVERAGE(Y4,Z4,AC4),0)</f>
        <v>8</v>
      </c>
      <c r="AF4" s="15" t="n">
        <f aca="false">ROUND(AVERAGE(AD4,AE4),0)</f>
        <v>9</v>
      </c>
      <c r="AG4" s="15" t="n">
        <f aca="false">ROUND(AVERAGE(S4,AE4),0)</f>
        <v>8</v>
      </c>
    </row>
    <row r="5" customFormat="false" ht="15.65" hidden="false" customHeight="false" outlineLevel="0" collapsed="false">
      <c r="A5" s="1" t="n">
        <v>3</v>
      </c>
      <c r="B5" s="3" t="s">
        <v>25</v>
      </c>
      <c r="C5" s="1" t="n">
        <v>9</v>
      </c>
      <c r="E5" s="1" t="n">
        <v>10</v>
      </c>
      <c r="G5" s="1" t="n">
        <v>6</v>
      </c>
      <c r="I5" s="16" t="n">
        <v>9</v>
      </c>
      <c r="J5" s="1" t="n">
        <f aca="false">G5+I5/2</f>
        <v>10.5</v>
      </c>
      <c r="K5" s="1" t="n">
        <f aca="false">ROUND(AVERAGE(C5,E5,J5),0)</f>
        <v>10</v>
      </c>
      <c r="L5" s="8" t="str">
        <f aca="false">IF(K5&lt;7,"TEP","TEA")</f>
        <v>TEA</v>
      </c>
      <c r="M5" s="16" t="n">
        <v>7</v>
      </c>
      <c r="N5" s="17" t="n">
        <v>45849</v>
      </c>
      <c r="O5" s="7" t="n">
        <v>8</v>
      </c>
      <c r="P5" s="1" t="n">
        <f aca="false">ROUND(AVERAGE(O5,M5,K5),0)</f>
        <v>8</v>
      </c>
      <c r="Q5" s="1" t="n">
        <v>8</v>
      </c>
      <c r="R5" s="1" t="n">
        <v>8</v>
      </c>
      <c r="S5" s="8" t="n">
        <f aca="false">ROUND(AVERAGE(P5:R5),0)</f>
        <v>8</v>
      </c>
      <c r="T5" s="8"/>
      <c r="U5" s="8"/>
      <c r="V5" s="8"/>
      <c r="Y5" s="1" t="n">
        <v>8</v>
      </c>
      <c r="Z5" s="1" t="n">
        <v>1</v>
      </c>
      <c r="AA5" s="0" t="n">
        <v>7</v>
      </c>
      <c r="AC5" s="15" t="n">
        <f aca="false">AA5+AB5/2</f>
        <v>7</v>
      </c>
      <c r="AD5" s="0" t="n">
        <v>9</v>
      </c>
      <c r="AE5" s="15" t="n">
        <f aca="false">ROUND(AVERAGE(Y5,Z5,AC5),0)</f>
        <v>5</v>
      </c>
      <c r="AF5" s="15" t="n">
        <f aca="false">ROUND(AVERAGE(AD5,AE5),0)</f>
        <v>7</v>
      </c>
      <c r="AG5" s="15" t="n">
        <f aca="false">ROUND(AVERAGE(S5,AE5),0)</f>
        <v>7</v>
      </c>
    </row>
    <row r="6" customFormat="false" ht="15.65" hidden="false" customHeight="false" outlineLevel="0" collapsed="false">
      <c r="A6" s="1" t="n">
        <v>4</v>
      </c>
      <c r="B6" s="3" t="s">
        <v>29</v>
      </c>
      <c r="C6" s="16" t="n">
        <v>6</v>
      </c>
      <c r="D6" s="17" t="n">
        <v>45851</v>
      </c>
      <c r="E6" s="16" t="n">
        <v>5</v>
      </c>
      <c r="F6" s="17" t="n">
        <v>45851</v>
      </c>
      <c r="G6" s="16" t="n">
        <v>6</v>
      </c>
      <c r="H6" s="17" t="n">
        <v>45849</v>
      </c>
      <c r="I6" s="16" t="n">
        <v>11</v>
      </c>
      <c r="J6" s="1" t="n">
        <f aca="false">G6+I6/2</f>
        <v>11.5</v>
      </c>
      <c r="K6" s="1" t="n">
        <f aca="false">ROUND(AVERAGE(C6,E6,J6),0)</f>
        <v>8</v>
      </c>
      <c r="L6" s="8" t="str">
        <f aca="false">IF(K6&lt;7,"TEP","TEA")</f>
        <v>TEA</v>
      </c>
      <c r="M6" s="1" t="n">
        <v>7</v>
      </c>
      <c r="O6" s="7" t="n">
        <v>8</v>
      </c>
      <c r="P6" s="1" t="n">
        <f aca="false">ROUND(AVERAGE(O6,M6,K6),0)</f>
        <v>8</v>
      </c>
      <c r="Q6" s="1" t="n">
        <v>8</v>
      </c>
      <c r="R6" s="1" t="n">
        <v>8</v>
      </c>
      <c r="S6" s="8" t="n">
        <f aca="false">ROUND(AVERAGE(P6:R6),0)</f>
        <v>8</v>
      </c>
      <c r="T6" s="8"/>
      <c r="U6" s="8"/>
      <c r="V6" s="8"/>
      <c r="W6" s="1" t="n">
        <v>7</v>
      </c>
      <c r="Y6" s="1" t="n">
        <v>10</v>
      </c>
      <c r="Z6" s="1" t="n">
        <v>7</v>
      </c>
      <c r="AA6" s="0" t="n">
        <v>10</v>
      </c>
      <c r="AC6" s="15" t="n">
        <f aca="false">AA6+AB6/2</f>
        <v>10</v>
      </c>
      <c r="AD6" s="0" t="n">
        <v>10</v>
      </c>
      <c r="AE6" s="15" t="n">
        <f aca="false">ROUND(AVERAGE(Y6,Z6,AC6),0)</f>
        <v>9</v>
      </c>
      <c r="AF6" s="15" t="n">
        <f aca="false">ROUND(AVERAGE(AD6,AE6),0)</f>
        <v>10</v>
      </c>
      <c r="AG6" s="15" t="n">
        <f aca="false">ROUND(AVERAGE(S6,AE6),0)</f>
        <v>9</v>
      </c>
    </row>
    <row r="7" s="2" customFormat="true" ht="15.65" hidden="false" customHeight="false" outlineLevel="0" collapsed="false">
      <c r="A7" s="2" t="n">
        <v>5</v>
      </c>
      <c r="B7" s="9" t="s">
        <v>32</v>
      </c>
      <c r="C7" s="2" t="n">
        <v>3</v>
      </c>
      <c r="E7" s="2" t="n">
        <v>1</v>
      </c>
      <c r="G7" s="2" t="n">
        <v>1</v>
      </c>
      <c r="I7" s="2" t="n">
        <v>3</v>
      </c>
      <c r="J7" s="2" t="n">
        <f aca="false">G7+I7/2</f>
        <v>2.5</v>
      </c>
      <c r="K7" s="2" t="n">
        <f aca="false">ROUND(AVERAGE(C7,E7,J7),0)</f>
        <v>2</v>
      </c>
      <c r="L7" s="18" t="str">
        <f aca="false">IF(K7&lt;7,"TEP","TEA")</f>
        <v>TEP</v>
      </c>
      <c r="M7" s="2" t="n">
        <v>1</v>
      </c>
      <c r="O7" s="11" t="n">
        <v>1</v>
      </c>
      <c r="P7" s="2" t="n">
        <f aca="false">ROUND(AVERAGE(O7,M7,K7),0)</f>
        <v>1</v>
      </c>
      <c r="Q7" s="2" t="n">
        <v>8</v>
      </c>
      <c r="R7" s="2" t="n">
        <v>8</v>
      </c>
      <c r="S7" s="18" t="n">
        <f aca="false">ROUND(AVERAGE(P7:R7),0)</f>
        <v>6</v>
      </c>
      <c r="U7" s="2" t="s">
        <v>19</v>
      </c>
      <c r="Y7" s="2" t="n">
        <v>2</v>
      </c>
      <c r="Z7" s="2" t="n">
        <v>7</v>
      </c>
      <c r="AA7" s="2" t="n">
        <v>1</v>
      </c>
      <c r="AB7" s="0"/>
      <c r="AC7" s="0" t="n">
        <f aca="false">AA7+AB7/2</f>
        <v>1</v>
      </c>
      <c r="AD7" s="0" t="n">
        <v>1</v>
      </c>
      <c r="AE7" s="15" t="n">
        <f aca="false">ROUND(AVERAGE(Y7,Z7,AC7),0)</f>
        <v>3</v>
      </c>
      <c r="AF7" s="15" t="n">
        <f aca="false">ROUND(AVERAGE(AD7,AE7),0)</f>
        <v>2</v>
      </c>
      <c r="AG7" s="15" t="n">
        <f aca="false">ROUND(AVERAGE(S7,AE7),0)</f>
        <v>5</v>
      </c>
    </row>
    <row r="8" s="2" customFormat="true" ht="15.65" hidden="false" customHeight="false" outlineLevel="0" collapsed="false">
      <c r="A8" s="2" t="n">
        <v>6</v>
      </c>
      <c r="B8" s="9" t="s">
        <v>35</v>
      </c>
      <c r="C8" s="2" t="n">
        <v>1</v>
      </c>
      <c r="E8" s="2" t="n">
        <v>1</v>
      </c>
      <c r="G8" s="2" t="n">
        <v>1</v>
      </c>
      <c r="I8" s="2" t="n">
        <v>0</v>
      </c>
      <c r="J8" s="2" t="n">
        <f aca="false">G8+I8/2</f>
        <v>1</v>
      </c>
      <c r="K8" s="2" t="n">
        <f aca="false">ROUND(AVERAGE(C8,E8,J8),0)</f>
        <v>1</v>
      </c>
      <c r="L8" s="18" t="str">
        <f aca="false">IF(K8&lt;7,"TEP","TEA")</f>
        <v>TEP</v>
      </c>
      <c r="M8" s="2" t="n">
        <v>8</v>
      </c>
      <c r="O8" s="11" t="n">
        <v>0</v>
      </c>
      <c r="P8" s="2" t="n">
        <f aca="false">ROUND(AVERAGE(O8,M8,K8),0)</f>
        <v>3</v>
      </c>
      <c r="Q8" s="1" t="n">
        <v>8</v>
      </c>
      <c r="R8" s="1" t="n">
        <v>8</v>
      </c>
      <c r="S8" s="8" t="n">
        <f aca="false">ROUND(AVERAGE(P8:R8),0)</f>
        <v>6</v>
      </c>
      <c r="T8" s="2" t="s">
        <v>37</v>
      </c>
      <c r="U8" s="2" t="s">
        <v>19</v>
      </c>
      <c r="X8" s="2" t="s">
        <v>19</v>
      </c>
      <c r="Y8" s="2" t="n">
        <v>1</v>
      </c>
      <c r="Z8" s="2" t="n">
        <v>1</v>
      </c>
      <c r="AA8" s="2" t="n">
        <v>1</v>
      </c>
      <c r="AB8" s="0"/>
      <c r="AC8" s="0" t="n">
        <f aca="false">AA8+AB8/2</f>
        <v>1</v>
      </c>
      <c r="AD8" s="0" t="n">
        <v>1</v>
      </c>
      <c r="AE8" s="15" t="n">
        <f aca="false">ROUND(AVERAGE(Y8,Z8,AC8),0)</f>
        <v>1</v>
      </c>
      <c r="AF8" s="15" t="n">
        <f aca="false">ROUND(AVERAGE(AD8,AE8),0)</f>
        <v>1</v>
      </c>
      <c r="AG8" s="15" t="n">
        <f aca="false">ROUND(AVERAGE(S8,AE8),0)</f>
        <v>4</v>
      </c>
    </row>
    <row r="9" customFormat="false" ht="15.65" hidden="false" customHeight="false" outlineLevel="0" collapsed="false">
      <c r="A9" s="1" t="n">
        <v>7</v>
      </c>
      <c r="B9" s="3" t="s">
        <v>39</v>
      </c>
      <c r="C9" s="1" t="n">
        <v>8</v>
      </c>
      <c r="E9" s="1" t="n">
        <v>7</v>
      </c>
      <c r="G9" s="2" t="n">
        <v>6</v>
      </c>
      <c r="H9" s="4" t="n">
        <v>45784</v>
      </c>
      <c r="I9" s="1" t="n">
        <v>7</v>
      </c>
      <c r="J9" s="1" t="n">
        <f aca="false">G9+I9/2</f>
        <v>9.5</v>
      </c>
      <c r="K9" s="1" t="n">
        <f aca="false">ROUND(AVERAGE(C9,E9,J9),0)</f>
        <v>8</v>
      </c>
      <c r="L9" s="8" t="str">
        <f aca="false">IF(K9&lt;7,"TEP","TEA")</f>
        <v>TEA</v>
      </c>
      <c r="M9" s="1" t="n">
        <v>8</v>
      </c>
      <c r="O9" s="7" t="n">
        <v>10</v>
      </c>
      <c r="P9" s="1" t="n">
        <f aca="false">ROUND(AVERAGE(O9,M9,K9),0)</f>
        <v>9</v>
      </c>
      <c r="Q9" s="1" t="n">
        <v>8</v>
      </c>
      <c r="R9" s="1" t="n">
        <v>8</v>
      </c>
      <c r="S9" s="8" t="n">
        <f aca="false">ROUND(AVERAGE(P9:R9),0)</f>
        <v>8</v>
      </c>
      <c r="Y9" s="1" t="n">
        <v>10</v>
      </c>
      <c r="Z9" s="1" t="n">
        <v>7</v>
      </c>
      <c r="AA9" s="0" t="n">
        <v>7</v>
      </c>
      <c r="AC9" s="15" t="n">
        <f aca="false">AA9+AB9/2</f>
        <v>7</v>
      </c>
      <c r="AD9" s="0" t="n">
        <v>9</v>
      </c>
      <c r="AE9" s="15" t="n">
        <f aca="false">ROUND(AVERAGE(Y9,Z9,AC9),0)</f>
        <v>8</v>
      </c>
      <c r="AF9" s="15" t="n">
        <f aca="false">ROUND(AVERAGE(AD9,AE9),0)</f>
        <v>9</v>
      </c>
      <c r="AG9" s="15" t="n">
        <f aca="false">ROUND(AVERAGE(S9,AE9),0)</f>
        <v>8</v>
      </c>
    </row>
    <row r="10" customFormat="false" ht="15.65" hidden="false" customHeight="false" outlineLevel="0" collapsed="false">
      <c r="A10" s="1" t="n">
        <v>8</v>
      </c>
      <c r="B10" s="3" t="s">
        <v>42</v>
      </c>
      <c r="C10" s="1" t="n">
        <v>9</v>
      </c>
      <c r="E10" s="16" t="n">
        <v>7</v>
      </c>
      <c r="F10" s="17" t="n">
        <v>45851</v>
      </c>
      <c r="G10" s="16" t="n">
        <v>7</v>
      </c>
      <c r="H10" s="17" t="n">
        <v>45849</v>
      </c>
      <c r="I10" s="16" t="n">
        <v>6</v>
      </c>
      <c r="J10" s="1" t="n">
        <f aca="false">G10+I10/2</f>
        <v>10</v>
      </c>
      <c r="K10" s="1" t="n">
        <f aca="false">ROUND(AVERAGE(C10,E10,J10),0)</f>
        <v>9</v>
      </c>
      <c r="L10" s="8" t="str">
        <f aca="false">IF(K10&lt;7,"TEP","TEA")</f>
        <v>TEA</v>
      </c>
      <c r="M10" s="1" t="n">
        <v>10</v>
      </c>
      <c r="O10" s="7" t="n">
        <v>10</v>
      </c>
      <c r="P10" s="1" t="n">
        <f aca="false">ROUND(AVERAGE(O10,M10,K10),0)</f>
        <v>10</v>
      </c>
      <c r="Q10" s="1" t="n">
        <v>8</v>
      </c>
      <c r="R10" s="1" t="n">
        <v>8</v>
      </c>
      <c r="S10" s="8" t="n">
        <f aca="false">ROUND(AVERAGE(P10:R10),0)</f>
        <v>9</v>
      </c>
      <c r="W10" s="1" t="n">
        <v>7</v>
      </c>
      <c r="Y10" s="1" t="n">
        <v>10</v>
      </c>
      <c r="Z10" s="1" t="n">
        <v>9</v>
      </c>
      <c r="AA10" s="0" t="n">
        <v>10</v>
      </c>
      <c r="AB10" s="1" t="n">
        <v>1</v>
      </c>
      <c r="AC10" s="15" t="n">
        <f aca="false">AA10+AB10/2</f>
        <v>10.5</v>
      </c>
      <c r="AD10" s="0" t="n">
        <v>10</v>
      </c>
      <c r="AE10" s="15" t="n">
        <f aca="false">ROUND(AVERAGE(Y10,Z10,AC10),0)</f>
        <v>10</v>
      </c>
      <c r="AF10" s="15" t="n">
        <f aca="false">ROUND(AVERAGE(AD10,AE10),0)</f>
        <v>10</v>
      </c>
      <c r="AG10" s="15" t="n">
        <f aca="false">ROUND(AVERAGE(S10,AE10),0)</f>
        <v>10</v>
      </c>
    </row>
    <row r="11" customFormat="false" ht="15.65" hidden="false" customHeight="false" outlineLevel="0" collapsed="false">
      <c r="A11" s="1" t="n">
        <v>9</v>
      </c>
      <c r="B11" s="3" t="s">
        <v>45</v>
      </c>
      <c r="C11" s="1" t="n">
        <v>7</v>
      </c>
      <c r="E11" s="1" t="n">
        <v>8</v>
      </c>
      <c r="G11" s="1" t="n">
        <v>9</v>
      </c>
      <c r="I11" s="16" t="n">
        <v>18</v>
      </c>
      <c r="J11" s="1" t="n">
        <f aca="false">G11+I11/2</f>
        <v>18</v>
      </c>
      <c r="K11" s="1" t="n">
        <f aca="false">ROUND(AVERAGE(C11,E11,J11),0)</f>
        <v>11</v>
      </c>
      <c r="L11" s="8" t="str">
        <f aca="false">IF(K11&lt;7,"TEP","TEA")</f>
        <v>TEA</v>
      </c>
      <c r="M11" s="1" t="n">
        <v>10</v>
      </c>
      <c r="O11" s="7" t="n">
        <v>10</v>
      </c>
      <c r="P11" s="1" t="n">
        <f aca="false">ROUND(AVERAGE(O11,M11,K11),0)</f>
        <v>10</v>
      </c>
      <c r="Q11" s="1" t="n">
        <v>8</v>
      </c>
      <c r="R11" s="1" t="n">
        <v>8</v>
      </c>
      <c r="S11" s="8" t="n">
        <f aca="false">ROUND(AVERAGE(P11:R11),0)</f>
        <v>9</v>
      </c>
      <c r="W11" s="1" t="n">
        <v>7</v>
      </c>
      <c r="Y11" s="1" t="n">
        <v>10</v>
      </c>
      <c r="Z11" s="1" t="n">
        <v>10</v>
      </c>
      <c r="AA11" s="0" t="n">
        <v>10</v>
      </c>
      <c r="AB11" s="1" t="n">
        <v>1</v>
      </c>
      <c r="AC11" s="15" t="n">
        <f aca="false">AA11+AB11/2</f>
        <v>10.5</v>
      </c>
      <c r="AD11" s="0" t="n">
        <v>19</v>
      </c>
      <c r="AE11" s="15" t="n">
        <f aca="false">ROUND(AVERAGE(Y11,Z11,AC11),0)</f>
        <v>10</v>
      </c>
      <c r="AF11" s="15" t="n">
        <f aca="false">ROUND(AVERAGE(AD11,AE11),0)</f>
        <v>15</v>
      </c>
      <c r="AG11" s="15" t="n">
        <f aca="false">ROUND(AVERAGE(S11,AE11),0)</f>
        <v>10</v>
      </c>
    </row>
    <row r="12" customFormat="false" ht="15.65" hidden="false" customHeight="false" outlineLevel="0" collapsed="false">
      <c r="A12" s="1" t="n">
        <v>10</v>
      </c>
      <c r="B12" s="3" t="s">
        <v>48</v>
      </c>
      <c r="C12" s="1" t="n">
        <v>8</v>
      </c>
      <c r="E12" s="2" t="n">
        <v>7</v>
      </c>
      <c r="F12" s="4" t="n">
        <v>45784</v>
      </c>
      <c r="G12" s="2" t="n">
        <v>6</v>
      </c>
      <c r="H12" s="4" t="n">
        <v>45784</v>
      </c>
      <c r="I12" s="1" t="n">
        <v>1</v>
      </c>
      <c r="J12" s="1" t="n">
        <f aca="false">G12+I12/2</f>
        <v>6.5</v>
      </c>
      <c r="K12" s="1" t="n">
        <f aca="false">ROUND(AVERAGE(C12,E12,J12),0)</f>
        <v>7</v>
      </c>
      <c r="L12" s="8" t="str">
        <f aca="false">IF(K12&lt;7,"TEP","TEA")</f>
        <v>TEA</v>
      </c>
      <c r="M12" s="1" t="n">
        <v>1</v>
      </c>
      <c r="O12" s="7" t="n">
        <v>9</v>
      </c>
      <c r="P12" s="1" t="n">
        <f aca="false">ROUND(AVERAGE(O12,M12,K12),0)</f>
        <v>6</v>
      </c>
      <c r="Q12" s="1" t="n">
        <v>8</v>
      </c>
      <c r="R12" s="1" t="n">
        <v>8</v>
      </c>
      <c r="S12" s="8" t="n">
        <f aca="false">ROUND(AVERAGE(P12:R12),0)</f>
        <v>7</v>
      </c>
      <c r="Y12" s="1" t="n">
        <v>8</v>
      </c>
      <c r="Z12" s="1" t="n">
        <v>8</v>
      </c>
      <c r="AA12" s="0" t="n">
        <v>1</v>
      </c>
      <c r="AB12" s="14" t="n">
        <v>5</v>
      </c>
      <c r="AC12" s="15" t="n">
        <f aca="false">AA12+AB12/2</f>
        <v>3.5</v>
      </c>
      <c r="AD12" s="0" t="n">
        <v>9</v>
      </c>
      <c r="AE12" s="15" t="n">
        <f aca="false">ROUND(AVERAGE(Y12,Z12,AC12),0)</f>
        <v>7</v>
      </c>
      <c r="AF12" s="15" t="n">
        <f aca="false">ROUND(AVERAGE(AD12,AE12),0)</f>
        <v>8</v>
      </c>
      <c r="AG12" s="15" t="n">
        <f aca="false">ROUND(AVERAGE(S12,AE12),0)</f>
        <v>7</v>
      </c>
    </row>
    <row r="13" customFormat="false" ht="15.65" hidden="false" customHeight="false" outlineLevel="0" collapsed="false">
      <c r="A13" s="1" t="n">
        <v>26</v>
      </c>
      <c r="B13" s="3" t="s">
        <v>51</v>
      </c>
      <c r="C13" s="1" t="n">
        <v>6</v>
      </c>
      <c r="E13" s="1" t="n">
        <v>7</v>
      </c>
      <c r="G13" s="1" t="n">
        <v>1</v>
      </c>
      <c r="I13" s="16" t="n">
        <v>4</v>
      </c>
      <c r="J13" s="1" t="n">
        <f aca="false">G13+I13/2</f>
        <v>3</v>
      </c>
      <c r="K13" s="1" t="n">
        <f aca="false">ROUND(AVERAGE(C13,E13,J13),0)</f>
        <v>5</v>
      </c>
      <c r="L13" s="8" t="str">
        <f aca="false">IF(K13&lt;7,"TEP","TEA")</f>
        <v>TEP</v>
      </c>
      <c r="M13" s="1" t="n">
        <v>8</v>
      </c>
      <c r="O13" s="7" t="n">
        <v>10</v>
      </c>
      <c r="P13" s="1" t="n">
        <f aca="false">ROUND(AVERAGE(O13,M13,K13),0)</f>
        <v>8</v>
      </c>
      <c r="Q13" s="1" t="n">
        <v>8</v>
      </c>
      <c r="R13" s="1" t="n">
        <v>8</v>
      </c>
      <c r="S13" s="8" t="n">
        <f aca="false">ROUND(AVERAGE(P13:R13),0)</f>
        <v>8</v>
      </c>
      <c r="Y13" s="1" t="n">
        <v>9</v>
      </c>
      <c r="Z13" s="1" t="n">
        <v>7</v>
      </c>
      <c r="AA13" s="0" t="n">
        <v>7</v>
      </c>
      <c r="AC13" s="15" t="n">
        <f aca="false">AA13+AB13/2</f>
        <v>7</v>
      </c>
      <c r="AD13" s="0" t="n">
        <v>9</v>
      </c>
      <c r="AE13" s="15" t="n">
        <f aca="false">ROUND(AVERAGE(Y13,Z13,AC13),0)</f>
        <v>8</v>
      </c>
      <c r="AF13" s="15" t="n">
        <f aca="false">ROUND(AVERAGE(AD13,AE13),0)</f>
        <v>9</v>
      </c>
      <c r="AG13" s="15" t="n">
        <f aca="false">ROUND(AVERAGE(S13,AE13),0)</f>
        <v>8</v>
      </c>
    </row>
    <row r="14" customFormat="false" ht="15.65" hidden="false" customHeight="false" outlineLevel="0" collapsed="false">
      <c r="A14" s="1" t="n">
        <v>11</v>
      </c>
      <c r="B14" s="3" t="s">
        <v>54</v>
      </c>
      <c r="C14" s="2" t="n">
        <v>6</v>
      </c>
      <c r="D14" s="4" t="n">
        <v>45782</v>
      </c>
      <c r="E14" s="16" t="n">
        <v>7</v>
      </c>
      <c r="F14" s="17" t="n">
        <v>45851</v>
      </c>
      <c r="G14" s="16" t="n">
        <v>5</v>
      </c>
      <c r="H14" s="17" t="n">
        <v>45849</v>
      </c>
      <c r="I14" s="16" t="n">
        <v>10</v>
      </c>
      <c r="J14" s="1" t="n">
        <f aca="false">G14+I14/2</f>
        <v>10</v>
      </c>
      <c r="K14" s="1" t="n">
        <f aca="false">ROUND(AVERAGE(C14,E14,J14),0)</f>
        <v>8</v>
      </c>
      <c r="L14" s="8" t="str">
        <f aca="false">IF(K14&lt;7,"TEP","TEA")</f>
        <v>TEA</v>
      </c>
      <c r="M14" s="1" t="n">
        <v>9</v>
      </c>
      <c r="O14" s="7" t="n">
        <v>8</v>
      </c>
      <c r="P14" s="1" t="n">
        <f aca="false">ROUND(AVERAGE(O14,M14,K14),0)</f>
        <v>8</v>
      </c>
      <c r="Q14" s="1" t="n">
        <v>8</v>
      </c>
      <c r="R14" s="1" t="n">
        <v>8</v>
      </c>
      <c r="S14" s="8" t="n">
        <f aca="false">ROUND(AVERAGE(P14:R14),0)</f>
        <v>8</v>
      </c>
      <c r="W14" s="1" t="n">
        <v>7</v>
      </c>
      <c r="Y14" s="1" t="n">
        <v>9</v>
      </c>
      <c r="Z14" s="1" t="n">
        <v>10</v>
      </c>
      <c r="AA14" s="0" t="n">
        <v>8</v>
      </c>
      <c r="AC14" s="15" t="n">
        <f aca="false">AA14+AB14/2</f>
        <v>8</v>
      </c>
      <c r="AD14" s="0" t="n">
        <v>10</v>
      </c>
      <c r="AE14" s="15" t="n">
        <f aca="false">ROUND(AVERAGE(Y14,Z14,AC14),0)</f>
        <v>9</v>
      </c>
      <c r="AF14" s="15" t="n">
        <f aca="false">ROUND(AVERAGE(AD14,AE14),0)</f>
        <v>10</v>
      </c>
      <c r="AG14" s="15" t="n">
        <f aca="false">ROUND(AVERAGE(S14,AE14),0)</f>
        <v>9</v>
      </c>
    </row>
    <row r="15" customFormat="false" ht="15.65" hidden="false" customHeight="false" outlineLevel="0" collapsed="false">
      <c r="A15" s="1" t="n">
        <v>12</v>
      </c>
      <c r="B15" s="3" t="s">
        <v>57</v>
      </c>
      <c r="C15" s="1" t="n">
        <v>9</v>
      </c>
      <c r="E15" s="1" t="n">
        <v>9</v>
      </c>
      <c r="G15" s="1" t="n">
        <v>9</v>
      </c>
      <c r="I15" s="16" t="n">
        <v>11</v>
      </c>
      <c r="J15" s="1" t="n">
        <f aca="false">G15+I15/2</f>
        <v>14.5</v>
      </c>
      <c r="K15" s="1" t="n">
        <f aca="false">ROUND(AVERAGE(C15,E15,J15),0)</f>
        <v>11</v>
      </c>
      <c r="L15" s="8" t="str">
        <f aca="false">IF(K15&lt;7,"TEP","TEA")</f>
        <v>TEA</v>
      </c>
      <c r="M15" s="1" t="n">
        <v>9</v>
      </c>
      <c r="O15" s="7" t="n">
        <v>7</v>
      </c>
      <c r="P15" s="1" t="n">
        <f aca="false">ROUND(AVERAGE(O15,M15,K15),0)</f>
        <v>9</v>
      </c>
      <c r="Q15" s="1" t="n">
        <v>9</v>
      </c>
      <c r="R15" s="1" t="n">
        <v>9</v>
      </c>
      <c r="S15" s="8" t="n">
        <f aca="false">ROUND(AVERAGE(P15:R15),0)</f>
        <v>9</v>
      </c>
      <c r="Y15" s="1" t="n">
        <v>9</v>
      </c>
      <c r="Z15" s="1" t="n">
        <v>10</v>
      </c>
      <c r="AA15" s="0" t="n">
        <v>10</v>
      </c>
      <c r="AC15" s="15" t="n">
        <f aca="false">AA15+AB15/2</f>
        <v>10</v>
      </c>
      <c r="AD15" s="0" t="n">
        <v>9</v>
      </c>
      <c r="AE15" s="15" t="n">
        <f aca="false">ROUND(AVERAGE(Y15,Z15,AC15),0)</f>
        <v>10</v>
      </c>
      <c r="AF15" s="15" t="n">
        <f aca="false">ROUND(AVERAGE(AD15,AE15),0)</f>
        <v>10</v>
      </c>
      <c r="AG15" s="15" t="n">
        <f aca="false">ROUND(AVERAGE(S15,AE15),0)</f>
        <v>10</v>
      </c>
    </row>
    <row r="16" customFormat="false" ht="15.65" hidden="false" customHeight="false" outlineLevel="0" collapsed="false">
      <c r="A16" s="1" t="n">
        <v>13</v>
      </c>
      <c r="B16" s="3" t="s">
        <v>60</v>
      </c>
      <c r="C16" s="1" t="n">
        <v>9</v>
      </c>
      <c r="E16" s="1" t="n">
        <v>10</v>
      </c>
      <c r="G16" s="1" t="n">
        <v>6</v>
      </c>
      <c r="I16" s="16" t="n">
        <v>13</v>
      </c>
      <c r="J16" s="1" t="n">
        <v>25</v>
      </c>
      <c r="K16" s="1" t="n">
        <f aca="false">ROUND(AVERAGE(C16,E16,J16),0)</f>
        <v>15</v>
      </c>
      <c r="L16" s="8" t="str">
        <f aca="false">IF(K16&lt;7,"TEP","TEA")</f>
        <v>TEA</v>
      </c>
      <c r="M16" s="1" t="n">
        <v>1</v>
      </c>
      <c r="O16" s="7" t="n">
        <v>8</v>
      </c>
      <c r="P16" s="1" t="n">
        <f aca="false">ROUND(AVERAGE(O16,M16,K16),0)</f>
        <v>8</v>
      </c>
      <c r="Q16" s="1" t="n">
        <v>8</v>
      </c>
      <c r="R16" s="1" t="n">
        <v>8</v>
      </c>
      <c r="S16" s="8" t="n">
        <f aca="false">ROUND(AVERAGE(P16:R16),0)</f>
        <v>8</v>
      </c>
      <c r="Y16" s="1" t="n">
        <v>8</v>
      </c>
      <c r="Z16" s="1" t="n">
        <v>7</v>
      </c>
      <c r="AA16" s="0" t="n">
        <v>10</v>
      </c>
      <c r="AC16" s="15" t="n">
        <f aca="false">AA16+AB16/2</f>
        <v>10</v>
      </c>
      <c r="AD16" s="0" t="n">
        <v>9</v>
      </c>
      <c r="AE16" s="15" t="n">
        <f aca="false">ROUND(AVERAGE(Y16,Z16,AC16),0)</f>
        <v>8</v>
      </c>
      <c r="AF16" s="15" t="n">
        <f aca="false">ROUND(AVERAGE(AD16,AE16),0)</f>
        <v>9</v>
      </c>
      <c r="AG16" s="15" t="n">
        <f aca="false">ROUND(AVERAGE(S16,AE16),0)</f>
        <v>8</v>
      </c>
    </row>
    <row r="17" s="2" customFormat="true" ht="15.65" hidden="false" customHeight="false" outlineLevel="0" collapsed="false">
      <c r="A17" s="2" t="n">
        <v>14</v>
      </c>
      <c r="B17" s="9" t="s">
        <v>64</v>
      </c>
      <c r="C17" s="2" t="n">
        <v>9</v>
      </c>
      <c r="E17" s="2" t="n">
        <v>5</v>
      </c>
      <c r="G17" s="2" t="n">
        <v>7</v>
      </c>
      <c r="H17" s="5" t="n">
        <v>45881</v>
      </c>
      <c r="I17" s="2" t="n">
        <v>0</v>
      </c>
      <c r="J17" s="2" t="n">
        <f aca="false">G17+I17/2</f>
        <v>7</v>
      </c>
      <c r="K17" s="2" t="n">
        <f aca="false">ROUND(AVERAGE(C17,E17,J17),0)</f>
        <v>7</v>
      </c>
      <c r="L17" s="18" t="str">
        <f aca="false">IF(K17&lt;7,"TEP","TEA")</f>
        <v>TEA</v>
      </c>
      <c r="M17" s="16" t="n">
        <v>5</v>
      </c>
      <c r="N17" s="17" t="n">
        <v>45881</v>
      </c>
      <c r="O17" s="11" t="n">
        <v>2</v>
      </c>
      <c r="P17" s="2" t="n">
        <f aca="false">ROUND(AVERAGE(O17,M17,K17),0)</f>
        <v>5</v>
      </c>
      <c r="Q17" s="1" t="n">
        <v>8</v>
      </c>
      <c r="R17" s="1" t="n">
        <v>8</v>
      </c>
      <c r="S17" s="8" t="n">
        <f aca="false">ROUND(AVERAGE(P17:R17),0)</f>
        <v>7</v>
      </c>
      <c r="T17" s="2" t="s">
        <v>126</v>
      </c>
      <c r="U17" s="2" t="s">
        <v>19</v>
      </c>
      <c r="X17" s="2" t="s">
        <v>19</v>
      </c>
      <c r="Y17" s="2" t="n">
        <v>1</v>
      </c>
      <c r="Z17" s="2" t="n">
        <v>1</v>
      </c>
      <c r="AB17" s="0"/>
      <c r="AC17" s="0" t="n">
        <f aca="false">AA17+AB17/2</f>
        <v>0</v>
      </c>
      <c r="AD17" s="0" t="n">
        <v>1</v>
      </c>
      <c r="AE17" s="15" t="n">
        <f aca="false">ROUND(AVERAGE(Y17,Z17,AC17),0)</f>
        <v>1</v>
      </c>
      <c r="AF17" s="15" t="n">
        <f aca="false">ROUND(AVERAGE(AD17,AE17),0)</f>
        <v>1</v>
      </c>
      <c r="AG17" s="15" t="n">
        <f aca="false">ROUND(AVERAGE(S17,AE17),0)</f>
        <v>4</v>
      </c>
    </row>
    <row r="18" s="2" customFormat="true" ht="15.65" hidden="false" customHeight="false" outlineLevel="0" collapsed="false">
      <c r="A18" s="2" t="n">
        <v>15</v>
      </c>
      <c r="B18" s="9" t="s">
        <v>68</v>
      </c>
      <c r="C18" s="2" t="n">
        <v>7</v>
      </c>
      <c r="E18" s="19" t="n">
        <v>6</v>
      </c>
      <c r="F18" s="19" t="s">
        <v>127</v>
      </c>
      <c r="G18" s="16" t="n">
        <v>8</v>
      </c>
      <c r="H18" s="17" t="n">
        <v>45881</v>
      </c>
      <c r="I18" s="2" t="n">
        <v>0</v>
      </c>
      <c r="J18" s="2" t="n">
        <f aca="false">G18+I18/2</f>
        <v>8</v>
      </c>
      <c r="K18" s="2" t="n">
        <f aca="false">ROUND(AVERAGE(C18,E18,J18),0)</f>
        <v>7</v>
      </c>
      <c r="L18" s="18" t="str">
        <f aca="false">IF(K18&lt;7,"TEP","TEA")</f>
        <v>TEA</v>
      </c>
      <c r="M18" s="2" t="n">
        <v>9</v>
      </c>
      <c r="O18" s="11" t="n">
        <v>2</v>
      </c>
      <c r="P18" s="2" t="n">
        <f aca="false">ROUND(AVERAGE(O18,M18,K18),0)</f>
        <v>6</v>
      </c>
      <c r="Q18" s="1" t="n">
        <v>8</v>
      </c>
      <c r="R18" s="1" t="n">
        <v>8</v>
      </c>
      <c r="S18" s="8" t="n">
        <f aca="false">ROUND(AVERAGE(P18:R18),0)</f>
        <v>7</v>
      </c>
      <c r="T18" s="19" t="s">
        <v>128</v>
      </c>
      <c r="U18" s="19" t="s">
        <v>17</v>
      </c>
      <c r="V18" s="19"/>
      <c r="X18" s="2" t="s">
        <v>17</v>
      </c>
      <c r="Y18" s="2" t="n">
        <v>3</v>
      </c>
      <c r="Z18" s="2" t="n">
        <v>1</v>
      </c>
      <c r="AA18" s="2" t="n">
        <v>1</v>
      </c>
      <c r="AB18" s="0"/>
      <c r="AC18" s="0" t="n">
        <f aca="false">AA18+AB18/2</f>
        <v>1</v>
      </c>
      <c r="AD18" s="0" t="n">
        <v>1</v>
      </c>
      <c r="AE18" s="15" t="n">
        <f aca="false">ROUND(AVERAGE(Y18,Z18,AC18),0)</f>
        <v>2</v>
      </c>
      <c r="AF18" s="15" t="n">
        <f aca="false">ROUND(AVERAGE(AD18,AE18),0)</f>
        <v>2</v>
      </c>
      <c r="AG18" s="15" t="n">
        <f aca="false">ROUND(AVERAGE(S18,AE18),0)</f>
        <v>5</v>
      </c>
    </row>
    <row r="19" customFormat="false" ht="15.65" hidden="false" customHeight="false" outlineLevel="0" collapsed="false">
      <c r="A19" s="1" t="n">
        <v>16</v>
      </c>
      <c r="B19" s="3" t="s">
        <v>71</v>
      </c>
      <c r="C19" s="1" t="n">
        <v>7</v>
      </c>
      <c r="E19" s="16" t="n">
        <v>7</v>
      </c>
      <c r="F19" s="17" t="n">
        <v>45851</v>
      </c>
      <c r="G19" s="1" t="n">
        <v>7</v>
      </c>
      <c r="I19" s="1" t="n">
        <v>6</v>
      </c>
      <c r="J19" s="1" t="n">
        <f aca="false">G19+I19/2</f>
        <v>10</v>
      </c>
      <c r="K19" s="1" t="n">
        <f aca="false">ROUND(AVERAGE(C19,E19,J19),0)</f>
        <v>8</v>
      </c>
      <c r="L19" s="8" t="str">
        <f aca="false">IF(K19&lt;7,"TEP","TEA")</f>
        <v>TEA</v>
      </c>
      <c r="M19" s="1" t="n">
        <v>10</v>
      </c>
      <c r="O19" s="7" t="n">
        <v>9</v>
      </c>
      <c r="P19" s="1" t="n">
        <f aca="false">ROUND(AVERAGE(O19,M19,K19),0)</f>
        <v>9</v>
      </c>
      <c r="Q19" s="1" t="n">
        <v>8</v>
      </c>
      <c r="R19" s="1" t="n">
        <v>8</v>
      </c>
      <c r="S19" s="8" t="n">
        <f aca="false">ROUND(AVERAGE(P19:R19),0)</f>
        <v>8</v>
      </c>
      <c r="Y19" s="1" t="n">
        <v>9</v>
      </c>
      <c r="Z19" s="1" t="n">
        <v>10</v>
      </c>
      <c r="AA19" s="0" t="n">
        <v>8</v>
      </c>
      <c r="AC19" s="15" t="n">
        <f aca="false">AA19+AB19/2</f>
        <v>8</v>
      </c>
      <c r="AD19" s="0" t="n">
        <v>9</v>
      </c>
      <c r="AE19" s="15" t="n">
        <f aca="false">ROUND(AVERAGE(Y19,Z19,AC19),0)</f>
        <v>9</v>
      </c>
      <c r="AF19" s="15" t="n">
        <f aca="false">ROUND(AVERAGE(AD19,AE19),0)</f>
        <v>9</v>
      </c>
      <c r="AG19" s="15" t="n">
        <f aca="false">ROUND(AVERAGE(S19,AE19),0)</f>
        <v>9</v>
      </c>
    </row>
    <row r="20" customFormat="false" ht="15.65" hidden="false" customHeight="false" outlineLevel="0" collapsed="false">
      <c r="A20" s="1" t="n">
        <v>17</v>
      </c>
      <c r="B20" s="3" t="s">
        <v>74</v>
      </c>
      <c r="C20" s="1" t="n">
        <v>7</v>
      </c>
      <c r="E20" s="1" t="n">
        <v>1</v>
      </c>
      <c r="G20" s="1" t="n">
        <v>6</v>
      </c>
      <c r="I20" s="16" t="n">
        <v>14</v>
      </c>
      <c r="J20" s="1" t="n">
        <f aca="false">G20+I20/2</f>
        <v>13</v>
      </c>
      <c r="K20" s="1" t="n">
        <f aca="false">ROUND(AVERAGE(C20,E20,J20),0)</f>
        <v>7</v>
      </c>
      <c r="L20" s="8" t="str">
        <f aca="false">IF(K20&lt;7,"TEP","TEA")</f>
        <v>TEA</v>
      </c>
      <c r="M20" s="1" t="n">
        <v>7</v>
      </c>
      <c r="O20" s="7" t="n">
        <v>9</v>
      </c>
      <c r="P20" s="1" t="n">
        <f aca="false">ROUND(AVERAGE(O20,M20,K20),0)</f>
        <v>8</v>
      </c>
      <c r="Q20" s="1" t="n">
        <v>8</v>
      </c>
      <c r="R20" s="1" t="n">
        <v>8</v>
      </c>
      <c r="S20" s="8" t="n">
        <f aca="false">ROUND(AVERAGE(P20:R20),0)</f>
        <v>8</v>
      </c>
      <c r="W20" s="1" t="n">
        <v>7</v>
      </c>
      <c r="Y20" s="1" t="n">
        <v>9</v>
      </c>
      <c r="Z20" s="1" t="n">
        <v>7</v>
      </c>
      <c r="AA20" s="0" t="n">
        <v>8</v>
      </c>
      <c r="AB20" s="1" t="n">
        <v>1</v>
      </c>
      <c r="AC20" s="15" t="n">
        <f aca="false">AA20+AB20/2</f>
        <v>8.5</v>
      </c>
      <c r="AD20" s="0" t="n">
        <v>10</v>
      </c>
      <c r="AE20" s="15" t="n">
        <f aca="false">ROUND(AVERAGE(Y20,Z20,AC20),0)</f>
        <v>8</v>
      </c>
      <c r="AF20" s="15" t="n">
        <f aca="false">ROUND(AVERAGE(AD20,AE20),0)</f>
        <v>9</v>
      </c>
      <c r="AG20" s="15" t="n">
        <f aca="false">ROUND(AVERAGE(S20,AE20),0)</f>
        <v>8</v>
      </c>
    </row>
    <row r="21" customFormat="false" ht="15.65" hidden="false" customHeight="false" outlineLevel="0" collapsed="false">
      <c r="A21" s="1" t="n">
        <v>18</v>
      </c>
      <c r="B21" s="3" t="s">
        <v>77</v>
      </c>
      <c r="C21" s="1" t="n">
        <v>10</v>
      </c>
      <c r="E21" s="2" t="n">
        <v>9</v>
      </c>
      <c r="F21" s="4" t="n">
        <v>45751</v>
      </c>
      <c r="G21" s="1" t="n">
        <v>10</v>
      </c>
      <c r="I21" s="1" t="n">
        <v>3</v>
      </c>
      <c r="J21" s="1" t="n">
        <f aca="false">G21+I21/2</f>
        <v>11.5</v>
      </c>
      <c r="K21" s="1" t="n">
        <f aca="false">ROUND(AVERAGE(C21,E21,J21),0)</f>
        <v>10</v>
      </c>
      <c r="L21" s="8" t="str">
        <f aca="false">IF(K21&lt;7,"TEP","TEA")</f>
        <v>TEA</v>
      </c>
      <c r="M21" s="1" t="n">
        <v>9</v>
      </c>
      <c r="O21" s="7" t="n">
        <v>10</v>
      </c>
      <c r="P21" s="1" t="n">
        <f aca="false">ROUND(AVERAGE(O21,M21,K21),0)</f>
        <v>10</v>
      </c>
      <c r="Q21" s="1" t="n">
        <v>8</v>
      </c>
      <c r="R21" s="1" t="n">
        <v>8</v>
      </c>
      <c r="S21" s="8" t="n">
        <f aca="false">ROUND(AVERAGE(P21:R21),0)</f>
        <v>9</v>
      </c>
      <c r="Y21" s="1" t="n">
        <v>6</v>
      </c>
      <c r="Z21" s="1" t="n">
        <v>7</v>
      </c>
      <c r="AA21" s="0" t="n">
        <v>8</v>
      </c>
      <c r="AB21" s="1" t="n">
        <v>1</v>
      </c>
      <c r="AC21" s="15" t="n">
        <f aca="false">AA21+AB21/2</f>
        <v>8.5</v>
      </c>
      <c r="AD21" s="0" t="n">
        <v>9</v>
      </c>
      <c r="AE21" s="15" t="n">
        <f aca="false">ROUND(AVERAGE(Y21,Z21,AC21),0)</f>
        <v>7</v>
      </c>
      <c r="AF21" s="15" t="n">
        <f aca="false">ROUND(AVERAGE(AD21,AE21),0)</f>
        <v>8</v>
      </c>
      <c r="AG21" s="15" t="n">
        <f aca="false">ROUND(AVERAGE(S21,AE21),0)</f>
        <v>8</v>
      </c>
    </row>
    <row r="22" customFormat="false" ht="15.65" hidden="false" customHeight="false" outlineLevel="0" collapsed="false">
      <c r="A22" s="1" t="n">
        <v>19</v>
      </c>
      <c r="B22" s="3" t="s">
        <v>80</v>
      </c>
      <c r="C22" s="1" t="n">
        <v>1</v>
      </c>
      <c r="E22" s="1" t="n">
        <v>1</v>
      </c>
      <c r="G22" s="1" t="n">
        <v>1</v>
      </c>
      <c r="I22" s="1" t="n">
        <v>2</v>
      </c>
      <c r="J22" s="1" t="n">
        <f aca="false">G22+I22/2</f>
        <v>2</v>
      </c>
      <c r="K22" s="1" t="n">
        <f aca="false">ROUND(AVERAGE(C22,E22,J22),0)</f>
        <v>1</v>
      </c>
      <c r="L22" s="8" t="str">
        <f aca="false">IF(K22&lt;7,"TEP","TEA")</f>
        <v>TEP</v>
      </c>
      <c r="M22" s="1" t="n">
        <v>1</v>
      </c>
      <c r="O22" s="7" t="n">
        <v>1</v>
      </c>
      <c r="P22" s="1" t="n">
        <f aca="false">ROUND(AVERAGE(O22,M22,K22),0)</f>
        <v>1</v>
      </c>
      <c r="Q22" s="1" t="n">
        <v>8</v>
      </c>
      <c r="R22" s="1" t="n">
        <v>8</v>
      </c>
      <c r="S22" s="8" t="n">
        <f aca="false">ROUND(AVERAGE(P22:R22),0)</f>
        <v>6</v>
      </c>
      <c r="X22" s="1" t="s">
        <v>19</v>
      </c>
      <c r="Y22" s="1" t="n">
        <v>1</v>
      </c>
      <c r="Z22" s="1" t="n">
        <v>1</v>
      </c>
      <c r="AA22" s="0" t="n">
        <v>1</v>
      </c>
      <c r="AC22" s="15" t="n">
        <f aca="false">AA22+AB22/2</f>
        <v>1</v>
      </c>
      <c r="AD22" s="0" t="n">
        <v>1</v>
      </c>
      <c r="AE22" s="15" t="n">
        <f aca="false">ROUND(AVERAGE(Y22,Z22,AC22),0)</f>
        <v>1</v>
      </c>
      <c r="AF22" s="15" t="n">
        <f aca="false">ROUND(AVERAGE(AD22,AE22),0)</f>
        <v>1</v>
      </c>
      <c r="AG22" s="15" t="n">
        <f aca="false">ROUND(AVERAGE(S22,AE22),0)</f>
        <v>4</v>
      </c>
    </row>
    <row r="23" customFormat="false" ht="15.65" hidden="false" customHeight="false" outlineLevel="0" collapsed="false">
      <c r="A23" s="1" t="n">
        <v>20</v>
      </c>
      <c r="B23" s="3" t="s">
        <v>84</v>
      </c>
      <c r="C23" s="1" t="n">
        <v>9</v>
      </c>
      <c r="E23" s="1" t="n">
        <v>10</v>
      </c>
      <c r="G23" s="1" t="n">
        <v>8</v>
      </c>
      <c r="I23" s="1" t="n">
        <v>3</v>
      </c>
      <c r="J23" s="1" t="n">
        <f aca="false">G23+I23/2</f>
        <v>9.5</v>
      </c>
      <c r="K23" s="1" t="n">
        <f aca="false">ROUND(AVERAGE(C23,E23,J23),0)</f>
        <v>10</v>
      </c>
      <c r="L23" s="8" t="str">
        <f aca="false">IF(K23&lt;7,"TEP","TEA")</f>
        <v>TEA</v>
      </c>
      <c r="M23" s="1" t="n">
        <v>8</v>
      </c>
      <c r="O23" s="7" t="n">
        <v>10</v>
      </c>
      <c r="P23" s="1" t="n">
        <f aca="false">ROUND(AVERAGE(O23,M23,K23),0)</f>
        <v>9</v>
      </c>
      <c r="Q23" s="1" t="n">
        <v>8</v>
      </c>
      <c r="R23" s="1" t="n">
        <v>8</v>
      </c>
      <c r="S23" s="8" t="n">
        <f aca="false">ROUND(AVERAGE(P23:R23),0)</f>
        <v>8</v>
      </c>
      <c r="Y23" s="1" t="n">
        <v>10</v>
      </c>
      <c r="Z23" s="1" t="n">
        <v>7</v>
      </c>
      <c r="AA23" s="0" t="n">
        <v>7</v>
      </c>
      <c r="AC23" s="15" t="n">
        <f aca="false">AA23+AB23/2</f>
        <v>7</v>
      </c>
      <c r="AD23" s="0" t="n">
        <v>9</v>
      </c>
      <c r="AE23" s="15" t="n">
        <f aca="false">ROUND(AVERAGE(Y23,Z23,AC23),0)</f>
        <v>8</v>
      </c>
      <c r="AF23" s="15" t="n">
        <f aca="false">ROUND(AVERAGE(AD23,AE23),0)</f>
        <v>9</v>
      </c>
      <c r="AG23" s="15" t="n">
        <f aca="false">ROUND(AVERAGE(S23,AE23),0)</f>
        <v>8</v>
      </c>
    </row>
    <row r="24" customFormat="false" ht="15.65" hidden="false" customHeight="false" outlineLevel="0" collapsed="false">
      <c r="A24" s="1" t="n">
        <v>21</v>
      </c>
      <c r="B24" s="3" t="s">
        <v>87</v>
      </c>
      <c r="C24" s="1" t="n">
        <v>9</v>
      </c>
      <c r="E24" s="1" t="n">
        <v>10</v>
      </c>
      <c r="G24" s="1" t="n">
        <f aca="false">MAX(F25,E25)</f>
        <v>10</v>
      </c>
      <c r="I24" s="16" t="n">
        <v>12</v>
      </c>
      <c r="J24" s="1" t="n">
        <f aca="false">G24+I24/2</f>
        <v>16</v>
      </c>
      <c r="K24" s="1" t="n">
        <f aca="false">ROUND(AVERAGE(C24,E24,J24),0)</f>
        <v>12</v>
      </c>
      <c r="L24" s="8" t="str">
        <f aca="false">IF(K24&lt;7,"TEP","TEA")</f>
        <v>TEA</v>
      </c>
      <c r="M24" s="1" t="n">
        <v>10</v>
      </c>
      <c r="O24" s="7" t="n">
        <v>8</v>
      </c>
      <c r="P24" s="1" t="n">
        <f aca="false">ROUND(AVERAGE(O24,M24,K24),0)</f>
        <v>10</v>
      </c>
      <c r="Q24" s="1" t="n">
        <v>8</v>
      </c>
      <c r="R24" s="1" t="n">
        <v>8</v>
      </c>
      <c r="S24" s="8" t="n">
        <f aca="false">ROUND(AVERAGE(P24:R24),0)</f>
        <v>9</v>
      </c>
      <c r="Y24" s="1" t="n">
        <v>9</v>
      </c>
      <c r="Z24" s="1" t="n">
        <v>10</v>
      </c>
      <c r="AA24" s="0" t="n">
        <v>10</v>
      </c>
      <c r="AB24" s="1" t="n">
        <v>1</v>
      </c>
      <c r="AC24" s="15" t="n">
        <f aca="false">AA24+AB24/2</f>
        <v>10.5</v>
      </c>
      <c r="AD24" s="0" t="n">
        <v>10</v>
      </c>
      <c r="AE24" s="15" t="n">
        <f aca="false">ROUND(AVERAGE(Y24,Z24,AC24),0)</f>
        <v>10</v>
      </c>
      <c r="AF24" s="15" t="n">
        <f aca="false">ROUND(AVERAGE(AD24,AE24),0)</f>
        <v>10</v>
      </c>
      <c r="AG24" s="15" t="n">
        <f aca="false">ROUND(AVERAGE(S24,AE24),0)</f>
        <v>10</v>
      </c>
    </row>
    <row r="25" customFormat="false" ht="15.65" hidden="false" customHeight="false" outlineLevel="0" collapsed="false">
      <c r="A25" s="1" t="n">
        <v>22</v>
      </c>
      <c r="B25" s="3" t="s">
        <v>90</v>
      </c>
      <c r="C25" s="1" t="n">
        <v>9</v>
      </c>
      <c r="E25" s="1" t="n">
        <v>10</v>
      </c>
      <c r="G25" s="1" t="n">
        <v>10</v>
      </c>
      <c r="I25" s="16" t="n">
        <v>15</v>
      </c>
      <c r="J25" s="1" t="n">
        <f aca="false">G25+I25/2</f>
        <v>17.5</v>
      </c>
      <c r="K25" s="1" t="n">
        <f aca="false">ROUND(AVERAGE(C25,E25,J25),0)</f>
        <v>12</v>
      </c>
      <c r="L25" s="8" t="str">
        <f aca="false">IF(K25&lt;7,"TEP","TEA")</f>
        <v>TEA</v>
      </c>
      <c r="M25" s="1" t="n">
        <v>10</v>
      </c>
      <c r="O25" s="7" t="n">
        <v>9</v>
      </c>
      <c r="P25" s="1" t="n">
        <f aca="false">ROUND(AVERAGE(O25,M25,K25),0)</f>
        <v>10</v>
      </c>
      <c r="Q25" s="1" t="n">
        <v>9</v>
      </c>
      <c r="R25" s="1" t="n">
        <v>9</v>
      </c>
      <c r="S25" s="8" t="n">
        <f aca="false">ROUND(AVERAGE(P25:R25),0)</f>
        <v>9</v>
      </c>
      <c r="W25" s="1" t="n">
        <v>10</v>
      </c>
      <c r="Y25" s="1" t="n">
        <v>10</v>
      </c>
      <c r="Z25" s="1" t="n">
        <v>10</v>
      </c>
      <c r="AA25" s="0" t="n">
        <v>10</v>
      </c>
      <c r="AC25" s="15" t="n">
        <f aca="false">AA25+AB25/2</f>
        <v>10</v>
      </c>
      <c r="AD25" s="0" t="n">
        <v>9</v>
      </c>
      <c r="AE25" s="15" t="n">
        <f aca="false">ROUND(AVERAGE(Y25,Z25,AC25),0)</f>
        <v>10</v>
      </c>
      <c r="AF25" s="15" t="n">
        <f aca="false">ROUND(AVERAGE(AD25,AE25),0)</f>
        <v>10</v>
      </c>
      <c r="AG25" s="15" t="n">
        <f aca="false">ROUND(AVERAGE(S25,AE25),0)</f>
        <v>10</v>
      </c>
    </row>
    <row r="26" customFormat="false" ht="15.65" hidden="false" customHeight="false" outlineLevel="0" collapsed="false">
      <c r="A26" s="1" t="n">
        <v>23</v>
      </c>
      <c r="B26" s="3" t="s">
        <v>93</v>
      </c>
      <c r="C26" s="1" t="n">
        <v>9</v>
      </c>
      <c r="E26" s="1" t="n">
        <v>7</v>
      </c>
      <c r="G26" s="1" t="n">
        <v>9</v>
      </c>
      <c r="I26" s="16" t="n">
        <v>37</v>
      </c>
      <c r="J26" s="1" t="n">
        <f aca="false">G26+I26/2</f>
        <v>27.5</v>
      </c>
      <c r="K26" s="1" t="n">
        <f aca="false">ROUND(AVERAGE(C26,E26,J26),0)</f>
        <v>15</v>
      </c>
      <c r="L26" s="8" t="str">
        <f aca="false">IF(K26&lt;7,"TEP","TEA")</f>
        <v>TEA</v>
      </c>
      <c r="M26" s="1" t="n">
        <v>10</v>
      </c>
      <c r="O26" s="7" t="n">
        <v>9</v>
      </c>
      <c r="P26" s="1" t="n">
        <f aca="false">ROUND(AVERAGE(O26,M26,K26),0)</f>
        <v>11</v>
      </c>
      <c r="Q26" s="1" t="n">
        <v>9</v>
      </c>
      <c r="R26" s="1" t="n">
        <v>9</v>
      </c>
      <c r="S26" s="8" t="n">
        <f aca="false">ROUND(AVERAGE(P26:R26),0)</f>
        <v>10</v>
      </c>
      <c r="Y26" s="1" t="n">
        <v>10</v>
      </c>
      <c r="Z26" s="1" t="n">
        <v>10</v>
      </c>
      <c r="AA26" s="0" t="n">
        <v>10</v>
      </c>
      <c r="AC26" s="15" t="n">
        <f aca="false">AA26+AB26/2</f>
        <v>10</v>
      </c>
      <c r="AD26" s="0" t="n">
        <v>9</v>
      </c>
      <c r="AE26" s="15" t="n">
        <f aca="false">ROUND(AVERAGE(Y26,Z26,AC26),0)</f>
        <v>10</v>
      </c>
      <c r="AF26" s="15" t="n">
        <f aca="false">ROUND(AVERAGE(AD26,AE26),0)</f>
        <v>10</v>
      </c>
      <c r="AG26" s="15" t="n">
        <f aca="false">ROUND(AVERAGE(S26,AE26),0)</f>
        <v>10</v>
      </c>
    </row>
    <row r="27" customFormat="false" ht="15.65" hidden="false" customHeight="false" outlineLevel="0" collapsed="false">
      <c r="A27" s="1" t="n">
        <v>24</v>
      </c>
      <c r="B27" s="3" t="s">
        <v>96</v>
      </c>
      <c r="C27" s="1" t="n">
        <v>8</v>
      </c>
      <c r="E27" s="1" t="n">
        <v>10</v>
      </c>
      <c r="G27" s="1" t="n">
        <v>10</v>
      </c>
      <c r="I27" s="16" t="n">
        <v>26</v>
      </c>
      <c r="J27" s="1" t="n">
        <f aca="false">G27+I27/2</f>
        <v>23</v>
      </c>
      <c r="K27" s="1" t="n">
        <f aca="false">ROUND(AVERAGE(C27,E27,J27),0)</f>
        <v>14</v>
      </c>
      <c r="L27" s="8" t="str">
        <f aca="false">IF(K27&lt;7,"TEP","TEA")</f>
        <v>TEA</v>
      </c>
      <c r="M27" s="1" t="n">
        <v>9</v>
      </c>
      <c r="O27" s="7" t="n">
        <v>10</v>
      </c>
      <c r="P27" s="1" t="n">
        <f aca="false">ROUND(AVERAGE(O27,M27,K27),0)</f>
        <v>11</v>
      </c>
      <c r="Q27" s="1" t="n">
        <v>8</v>
      </c>
      <c r="R27" s="1" t="n">
        <v>8</v>
      </c>
      <c r="S27" s="8" t="n">
        <f aca="false">ROUND(AVERAGE(P27:R27),0)</f>
        <v>9</v>
      </c>
      <c r="Y27" s="1" t="n">
        <v>9</v>
      </c>
      <c r="Z27" s="1" t="n">
        <v>10</v>
      </c>
      <c r="AA27" s="0" t="n">
        <v>8</v>
      </c>
      <c r="AB27" s="1" t="n">
        <v>1</v>
      </c>
      <c r="AC27" s="15" t="n">
        <f aca="false">AA27+AB27/2</f>
        <v>8.5</v>
      </c>
      <c r="AD27" s="0" t="n">
        <v>10</v>
      </c>
      <c r="AE27" s="15" t="n">
        <f aca="false">ROUND(AVERAGE(Y27,Z27,AC27),0)</f>
        <v>9</v>
      </c>
      <c r="AF27" s="15" t="n">
        <f aca="false">ROUND(AVERAGE(AD27,AE27),0)</f>
        <v>10</v>
      </c>
      <c r="AG27" s="15" t="n">
        <f aca="false">ROUND(AVERAGE(S27,AE27),0)</f>
        <v>9</v>
      </c>
    </row>
    <row r="28" s="2" customFormat="true" ht="15.65" hidden="false" customHeight="false" outlineLevel="0" collapsed="false">
      <c r="A28" s="2" t="n">
        <v>25</v>
      </c>
      <c r="B28" s="9" t="s">
        <v>99</v>
      </c>
      <c r="C28" s="2" t="n">
        <v>6</v>
      </c>
      <c r="E28" s="2" t="n">
        <v>7</v>
      </c>
      <c r="G28" s="2" t="n">
        <v>1</v>
      </c>
      <c r="I28" s="2" t="n">
        <v>3</v>
      </c>
      <c r="J28" s="2" t="n">
        <f aca="false">G28+I28/2</f>
        <v>2.5</v>
      </c>
      <c r="K28" s="2" t="n">
        <f aca="false">ROUND(AVERAGE(C28,E28,J28),0)</f>
        <v>5</v>
      </c>
      <c r="L28" s="18" t="str">
        <f aca="false">IF(K28&lt;7,"TEP","TEA")</f>
        <v>TEP</v>
      </c>
      <c r="M28" s="2" t="n">
        <v>1</v>
      </c>
      <c r="O28" s="11" t="n">
        <v>0</v>
      </c>
      <c r="P28" s="2" t="n">
        <f aca="false">ROUND(AVERAGE(O28,M28,K28),0)</f>
        <v>2</v>
      </c>
      <c r="Q28" s="1" t="n">
        <v>8</v>
      </c>
      <c r="R28" s="1" t="n">
        <v>8</v>
      </c>
      <c r="S28" s="8" t="n">
        <f aca="false">ROUND(AVERAGE(P28:R28),0)</f>
        <v>6</v>
      </c>
      <c r="T28" s="2" t="s">
        <v>37</v>
      </c>
      <c r="U28" s="2" t="s">
        <v>19</v>
      </c>
      <c r="X28" s="2" t="s">
        <v>19</v>
      </c>
      <c r="Y28" s="2" t="n">
        <v>1</v>
      </c>
      <c r="Z28" s="2" t="n">
        <v>1</v>
      </c>
      <c r="AA28" s="2" t="n">
        <v>1</v>
      </c>
      <c r="AC28" s="15" t="n">
        <f aca="false">AA28+AB28/2</f>
        <v>1</v>
      </c>
      <c r="AD28" s="0" t="n">
        <v>1</v>
      </c>
      <c r="AE28" s="15" t="n">
        <f aca="false">ROUND(AVERAGE(Y28,Z28,AC28),0)</f>
        <v>1</v>
      </c>
      <c r="AF28" s="15" t="n">
        <f aca="false">ROUND(AVERAGE(AD28,AE28),0)</f>
        <v>1</v>
      </c>
      <c r="AG28" s="15" t="n">
        <f aca="false">ROUND(AVERAGE(S28,AE28),0)</f>
        <v>4</v>
      </c>
    </row>
  </sheetData>
  <conditionalFormatting sqref="L3:L28 T3:V7">
    <cfRule type="cellIs" priority="2" operator="equal" aboveAverage="0" equalAverage="0" bottom="0" percent="0" rank="0" text="" dxfId="3">
      <formula>"TEP"</formula>
    </cfRule>
  </conditionalFormatting>
  <conditionalFormatting sqref="L7:L28">
    <cfRule type="cellIs" priority="3" operator="equal" aboveAverage="0" equalAverage="0" bottom="0" percent="0" rank="0" text="" dxfId="4">
      <formula>0</formula>
    </cfRule>
  </conditionalFormatting>
  <conditionalFormatting sqref="L3:L29">
    <cfRule type="cellIs" priority="4" operator="equal" aboveAverage="0" equalAverage="0" bottom="0" percent="0" rank="0" text="" dxfId="4">
      <formula>"TEP"</formula>
    </cfRule>
  </conditionalFormatting>
  <conditionalFormatting sqref="AE3:AF28">
    <cfRule type="cellIs" priority="5" operator="greaterThan" aboveAverage="0" equalAverage="0" bottom="0" percent="0" rank="0" text="" dxfId="5">
      <formula>6</formula>
    </cfRule>
    <cfRule type="cellIs" priority="6" operator="between" aboveAverage="0" equalAverage="0" bottom="0" percent="0" rank="0" text="" dxfId="6">
      <formula>4</formula>
      <formula>6</formula>
    </cfRule>
    <cfRule type="cellIs" priority="7" operator="lessThan" aboveAverage="0" equalAverage="0" bottom="0" percent="0" rank="0" text="" dxfId="7">
      <formula>4</formula>
    </cfRule>
  </conditionalFormatting>
  <conditionalFormatting sqref="AG3:AG28">
    <cfRule type="cellIs" priority="8" operator="greaterThan" aboveAverage="0" equalAverage="0" bottom="0" percent="0" rank="0" text="" dxfId="5">
      <formula>6</formula>
    </cfRule>
    <cfRule type="cellIs" priority="9" operator="between" aboveAverage="0" equalAverage="0" bottom="0" percent="0" rank="0" text="" dxfId="6">
      <formula>4</formula>
      <formula>6</formula>
    </cfRule>
    <cfRule type="cellIs" priority="10" operator="lessThan" aboveAverage="0" equalAverage="0" bottom="0" percent="0" rank="0" text="" dxfId="7">
      <formula>4</formula>
    </cfRule>
  </conditionalFormatting>
  <conditionalFormatting sqref="S3:S28">
    <cfRule type="cellIs" priority="11" operator="greaterThan" aboveAverage="0" equalAverage="0" bottom="0" percent="0" rank="0" text="" dxfId="8">
      <formula>6</formula>
    </cfRule>
    <cfRule type="cellIs" priority="12" operator="between" aboveAverage="0" equalAverage="0" bottom="0" percent="0" rank="0" text="" dxfId="6">
      <formula>4</formula>
      <formula>6</formula>
    </cfRule>
    <cfRule type="cellIs" priority="13" operator="lessThan" aboveAverage="0" equalAverage="0" bottom="0" percent="0" rank="0" text="" dxfId="7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2" activeCellId="0" sqref="O2"/>
    </sheetView>
  </sheetViews>
  <sheetFormatPr defaultColWidth="9.656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8.61"/>
    <col collapsed="false" customWidth="true" hidden="true" outlineLevel="0" max="7" min="3" style="1" width="9.5"/>
    <col collapsed="false" customWidth="false" hidden="true" outlineLevel="0" max="14" min="8" style="1" width="9.65"/>
    <col collapsed="false" customWidth="true" hidden="false" outlineLevel="0" max="862" min="853" style="1" width="9.33"/>
    <col collapsed="false" customWidth="true" hidden="false" outlineLevel="0" max="16384" min="16223" style="1" width="10.58"/>
  </cols>
  <sheetData>
    <row r="1" customFormat="false" ht="15" hidden="false" customHeight="false" outlineLevel="0" collapsed="false">
      <c r="A1" s="1" t="s">
        <v>0</v>
      </c>
      <c r="B1" s="3" t="s">
        <v>2</v>
      </c>
      <c r="C1" s="4" t="n">
        <v>45736</v>
      </c>
      <c r="D1" s="4" t="n">
        <v>45736</v>
      </c>
      <c r="E1" s="4" t="n">
        <v>-620088</v>
      </c>
      <c r="F1" s="4" t="n">
        <v>45757</v>
      </c>
      <c r="G1" s="4" t="s">
        <v>129</v>
      </c>
      <c r="H1" s="1" t="s">
        <v>109</v>
      </c>
      <c r="I1" s="4" t="n">
        <v>45799</v>
      </c>
      <c r="J1" s="4" t="s">
        <v>4</v>
      </c>
      <c r="K1" s="4" t="n">
        <v>45834</v>
      </c>
      <c r="L1" s="4" t="s">
        <v>4</v>
      </c>
      <c r="M1" s="4" t="s">
        <v>130</v>
      </c>
      <c r="N1" s="1" t="s">
        <v>131</v>
      </c>
      <c r="O1" s="4" t="n">
        <v>45953</v>
      </c>
    </row>
    <row r="2" customFormat="false" ht="15" hidden="false" customHeight="false" outlineLevel="0" collapsed="false">
      <c r="A2" s="1" t="n">
        <v>1</v>
      </c>
      <c r="B2" s="3" t="s">
        <v>15</v>
      </c>
      <c r="C2" s="1" t="n">
        <v>3</v>
      </c>
      <c r="H2" s="1" t="n">
        <f aca="false">SUM(C2:G2)</f>
        <v>3</v>
      </c>
      <c r="M2" s="20" t="n">
        <f aca="false">SUM(K2,I2,H2)</f>
        <v>3</v>
      </c>
      <c r="N2" s="1" t="n">
        <f aca="false">M2-H2</f>
        <v>0</v>
      </c>
    </row>
    <row r="3" customFormat="false" ht="15" hidden="false" customHeight="false" outlineLevel="0" collapsed="false">
      <c r="A3" s="1" t="n">
        <v>2</v>
      </c>
      <c r="B3" s="3" t="s">
        <v>22</v>
      </c>
      <c r="H3" s="1" t="n">
        <f aca="false">SUM(C3:G3)</f>
        <v>0</v>
      </c>
      <c r="I3" s="1" t="n">
        <v>5</v>
      </c>
      <c r="J3" s="1" t="s">
        <v>132</v>
      </c>
      <c r="M3" s="20" t="n">
        <f aca="false">SUM(K3,I3,H3)</f>
        <v>5</v>
      </c>
      <c r="N3" s="1" t="n">
        <f aca="false">M3-H3</f>
        <v>5</v>
      </c>
    </row>
    <row r="4" customFormat="false" ht="15" hidden="false" customHeight="false" outlineLevel="0" collapsed="false">
      <c r="A4" s="1" t="n">
        <v>3</v>
      </c>
      <c r="B4" s="3" t="s">
        <v>25</v>
      </c>
      <c r="C4" s="1" t="n">
        <v>2</v>
      </c>
      <c r="F4" s="1" t="n">
        <v>2</v>
      </c>
      <c r="H4" s="1" t="n">
        <f aca="false">SUM(C4:G4)</f>
        <v>4</v>
      </c>
      <c r="I4" s="1" t="n">
        <v>5</v>
      </c>
      <c r="J4" s="1" t="s">
        <v>132</v>
      </c>
      <c r="M4" s="20" t="n">
        <f aca="false">SUM(K4,I4,H4)</f>
        <v>9</v>
      </c>
      <c r="N4" s="1" t="n">
        <f aca="false">M4-H4</f>
        <v>5</v>
      </c>
    </row>
    <row r="5" customFormat="false" ht="15" hidden="false" customHeight="false" outlineLevel="0" collapsed="false">
      <c r="A5" s="1" t="n">
        <v>4</v>
      </c>
      <c r="B5" s="3" t="s">
        <v>29</v>
      </c>
      <c r="C5" s="1" t="n">
        <v>3</v>
      </c>
      <c r="D5" s="1" t="n">
        <v>3</v>
      </c>
      <c r="H5" s="1" t="n">
        <f aca="false">SUM(C5:G5)</f>
        <v>6</v>
      </c>
      <c r="I5" s="1" t="n">
        <v>5</v>
      </c>
      <c r="J5" s="1" t="s">
        <v>132</v>
      </c>
      <c r="M5" s="20" t="n">
        <f aca="false">SUM(K5,I5,H5)</f>
        <v>11</v>
      </c>
      <c r="N5" s="1" t="n">
        <f aca="false">M5-H5</f>
        <v>5</v>
      </c>
    </row>
    <row r="6" customFormat="false" ht="15" hidden="false" customHeight="false" outlineLevel="0" collapsed="false">
      <c r="A6" s="1" t="n">
        <v>5</v>
      </c>
      <c r="B6" s="3" t="s">
        <v>32</v>
      </c>
      <c r="C6" s="1" t="n">
        <v>3</v>
      </c>
      <c r="H6" s="1" t="n">
        <f aca="false">SUM(C6:G6)</f>
        <v>3</v>
      </c>
      <c r="M6" s="20" t="n">
        <f aca="false">SUM(K6,I6,H6)</f>
        <v>3</v>
      </c>
      <c r="N6" s="1" t="n">
        <f aca="false">M6-H6</f>
        <v>0</v>
      </c>
    </row>
    <row r="7" customFormat="false" ht="15" hidden="false" customHeight="false" outlineLevel="0" collapsed="false">
      <c r="A7" s="1" t="n">
        <v>6</v>
      </c>
      <c r="B7" s="3" t="s">
        <v>35</v>
      </c>
      <c r="H7" s="1" t="n">
        <f aca="false">SUM(C7:G7)</f>
        <v>0</v>
      </c>
      <c r="M7" s="20" t="n">
        <f aca="false">SUM(K7,I7,H7)</f>
        <v>0</v>
      </c>
      <c r="N7" s="1" t="n">
        <f aca="false">M7-H7</f>
        <v>0</v>
      </c>
    </row>
    <row r="8" customFormat="false" ht="15" hidden="false" customHeight="false" outlineLevel="0" collapsed="false">
      <c r="A8" s="1" t="n">
        <v>7</v>
      </c>
      <c r="B8" s="3" t="s">
        <v>39</v>
      </c>
      <c r="C8" s="1" t="n">
        <v>3</v>
      </c>
      <c r="D8" s="1" t="n">
        <v>3</v>
      </c>
      <c r="E8" s="1" t="n">
        <v>1</v>
      </c>
      <c r="H8" s="1" t="n">
        <f aca="false">SUM(C8:G8)</f>
        <v>7</v>
      </c>
      <c r="M8" s="20" t="n">
        <f aca="false">SUM(K8,I8,H8)</f>
        <v>7</v>
      </c>
      <c r="N8" s="1" t="n">
        <f aca="false">M8-H8</f>
        <v>0</v>
      </c>
    </row>
    <row r="9" customFormat="false" ht="15" hidden="false" customHeight="false" outlineLevel="0" collapsed="false">
      <c r="A9" s="1" t="n">
        <v>8</v>
      </c>
      <c r="B9" s="3" t="s">
        <v>42</v>
      </c>
      <c r="H9" s="1" t="n">
        <f aca="false">SUM(C9:G9)</f>
        <v>0</v>
      </c>
      <c r="I9" s="1" t="n">
        <v>5</v>
      </c>
      <c r="J9" s="1" t="s">
        <v>132</v>
      </c>
      <c r="K9" s="1" t="n">
        <v>1</v>
      </c>
      <c r="L9" s="1" t="s">
        <v>133</v>
      </c>
      <c r="M9" s="20" t="n">
        <f aca="false">SUM(K9,I9,H9)</f>
        <v>6</v>
      </c>
      <c r="N9" s="1" t="n">
        <f aca="false">M9-H9</f>
        <v>6</v>
      </c>
      <c r="O9" s="1" t="n">
        <v>1</v>
      </c>
    </row>
    <row r="10" customFormat="false" ht="15" hidden="false" customHeight="false" outlineLevel="0" collapsed="false">
      <c r="A10" s="1" t="n">
        <v>9</v>
      </c>
      <c r="B10" s="3" t="s">
        <v>45</v>
      </c>
      <c r="C10" s="1" t="n">
        <v>3</v>
      </c>
      <c r="D10" s="1" t="n">
        <v>3</v>
      </c>
      <c r="E10" s="1" t="n">
        <v>4</v>
      </c>
      <c r="F10" s="1" t="n">
        <v>2</v>
      </c>
      <c r="H10" s="1" t="n">
        <f aca="false">SUM(C10:G10)</f>
        <v>12</v>
      </c>
      <c r="I10" s="1" t="n">
        <v>5</v>
      </c>
      <c r="J10" s="1" t="s">
        <v>132</v>
      </c>
      <c r="K10" s="1" t="n">
        <v>1</v>
      </c>
      <c r="L10" s="1" t="s">
        <v>133</v>
      </c>
      <c r="M10" s="20" t="n">
        <f aca="false">SUM(K10,I10,H10)</f>
        <v>18</v>
      </c>
      <c r="N10" s="1" t="n">
        <f aca="false">M10-H10</f>
        <v>6</v>
      </c>
      <c r="O10" s="1" t="n">
        <v>1</v>
      </c>
    </row>
    <row r="11" customFormat="false" ht="15" hidden="false" customHeight="false" outlineLevel="0" collapsed="false">
      <c r="A11" s="1" t="n">
        <v>10</v>
      </c>
      <c r="B11" s="3" t="s">
        <v>48</v>
      </c>
      <c r="F11" s="1" t="n">
        <v>1</v>
      </c>
      <c r="H11" s="1" t="n">
        <f aca="false">SUM(C11:G11)</f>
        <v>1</v>
      </c>
      <c r="M11" s="20" t="n">
        <f aca="false">SUM(K11,I11,H11)</f>
        <v>1</v>
      </c>
      <c r="N11" s="1" t="n">
        <f aca="false">M11-H11</f>
        <v>0</v>
      </c>
    </row>
    <row r="12" customFormat="false" ht="15" hidden="false" customHeight="false" outlineLevel="0" collapsed="false">
      <c r="A12" s="1" t="n">
        <v>11</v>
      </c>
      <c r="B12" s="3" t="s">
        <v>51</v>
      </c>
      <c r="C12" s="1" t="n">
        <v>3</v>
      </c>
      <c r="H12" s="1" t="n">
        <f aca="false">SUM(C12:G12)</f>
        <v>3</v>
      </c>
      <c r="K12" s="1" t="n">
        <v>1</v>
      </c>
      <c r="L12" s="1" t="s">
        <v>133</v>
      </c>
      <c r="M12" s="20" t="n">
        <f aca="false">SUM(K12,I12,H12)</f>
        <v>4</v>
      </c>
      <c r="N12" s="1" t="n">
        <f aca="false">M12-H12</f>
        <v>1</v>
      </c>
    </row>
    <row r="13" customFormat="false" ht="15" hidden="false" customHeight="false" outlineLevel="0" collapsed="false">
      <c r="A13" s="1" t="n">
        <v>12</v>
      </c>
      <c r="B13" s="3" t="s">
        <v>54</v>
      </c>
      <c r="C13" s="1" t="n">
        <v>2</v>
      </c>
      <c r="E13" s="1" t="n">
        <v>3</v>
      </c>
      <c r="H13" s="1" t="n">
        <f aca="false">SUM(C13:G13)</f>
        <v>5</v>
      </c>
      <c r="I13" s="1" t="n">
        <v>5</v>
      </c>
      <c r="J13" s="1" t="s">
        <v>132</v>
      </c>
      <c r="M13" s="20" t="n">
        <f aca="false">SUM(K13,I13,H13)</f>
        <v>10</v>
      </c>
      <c r="N13" s="1" t="n">
        <f aca="false">M13-H13</f>
        <v>5</v>
      </c>
    </row>
    <row r="14" customFormat="false" ht="15" hidden="false" customHeight="false" outlineLevel="0" collapsed="false">
      <c r="A14" s="1" t="n">
        <v>13</v>
      </c>
      <c r="B14" s="3" t="s">
        <v>57</v>
      </c>
      <c r="C14" s="1" t="n">
        <v>3</v>
      </c>
      <c r="D14" s="1" t="n">
        <v>3</v>
      </c>
      <c r="E14" s="1" t="n">
        <v>2</v>
      </c>
      <c r="F14" s="1" t="n">
        <v>2</v>
      </c>
      <c r="H14" s="1" t="n">
        <f aca="false">SUM(C14:G14)</f>
        <v>10</v>
      </c>
      <c r="K14" s="1" t="n">
        <v>1</v>
      </c>
      <c r="L14" s="1" t="s">
        <v>133</v>
      </c>
      <c r="M14" s="20" t="n">
        <f aca="false">SUM(K14,I14,H14)</f>
        <v>11</v>
      </c>
      <c r="N14" s="1" t="n">
        <f aca="false">M14-H14</f>
        <v>1</v>
      </c>
    </row>
    <row r="15" customFormat="false" ht="15" hidden="false" customHeight="false" outlineLevel="0" collapsed="false">
      <c r="A15" s="1" t="n">
        <v>14</v>
      </c>
      <c r="B15" s="3" t="s">
        <v>60</v>
      </c>
      <c r="C15" s="1" t="n">
        <v>3</v>
      </c>
      <c r="D15" s="1" t="n">
        <v>3</v>
      </c>
      <c r="E15" s="1" t="n">
        <v>2</v>
      </c>
      <c r="H15" s="1" t="n">
        <f aca="false">SUM(C15:G15)</f>
        <v>8</v>
      </c>
      <c r="I15" s="1" t="n">
        <v>5</v>
      </c>
      <c r="J15" s="1" t="s">
        <v>132</v>
      </c>
      <c r="M15" s="20" t="n">
        <f aca="false">SUM(K15,I15,H15)</f>
        <v>13</v>
      </c>
      <c r="N15" s="1" t="n">
        <f aca="false">M15-H15</f>
        <v>5</v>
      </c>
    </row>
    <row r="16" customFormat="false" ht="15" hidden="false" customHeight="false" outlineLevel="0" collapsed="false">
      <c r="A16" s="1" t="n">
        <v>15</v>
      </c>
      <c r="B16" s="3" t="s">
        <v>64</v>
      </c>
      <c r="H16" s="1" t="n">
        <f aca="false">SUM(C16:G16)</f>
        <v>0</v>
      </c>
      <c r="M16" s="20" t="n">
        <f aca="false">SUM(K16,I16,H16)</f>
        <v>0</v>
      </c>
      <c r="N16" s="1" t="n">
        <f aca="false">M16-H16</f>
        <v>0</v>
      </c>
    </row>
    <row r="17" customFormat="false" ht="15" hidden="false" customHeight="false" outlineLevel="0" collapsed="false">
      <c r="A17" s="1" t="n">
        <v>16</v>
      </c>
      <c r="B17" s="3" t="s">
        <v>68</v>
      </c>
      <c r="H17" s="1" t="n">
        <f aca="false">SUM(C17:G17)</f>
        <v>0</v>
      </c>
      <c r="M17" s="20" t="n">
        <f aca="false">SUM(K17,I17,H17)</f>
        <v>0</v>
      </c>
      <c r="N17" s="1" t="n">
        <f aca="false">M17-H17</f>
        <v>0</v>
      </c>
    </row>
    <row r="18" customFormat="false" ht="15" hidden="false" customHeight="false" outlineLevel="0" collapsed="false">
      <c r="A18" s="1" t="n">
        <v>17</v>
      </c>
      <c r="B18" s="3" t="s">
        <v>71</v>
      </c>
      <c r="D18" s="1" t="n">
        <v>3</v>
      </c>
      <c r="F18" s="1" t="n">
        <v>3</v>
      </c>
      <c r="H18" s="1" t="n">
        <f aca="false">SUM(C18:G18)</f>
        <v>6</v>
      </c>
      <c r="M18" s="20" t="n">
        <f aca="false">SUM(K18,I18,H18)</f>
        <v>6</v>
      </c>
      <c r="N18" s="1" t="n">
        <f aca="false">M18-H18</f>
        <v>0</v>
      </c>
    </row>
    <row r="19" customFormat="false" ht="15" hidden="false" customHeight="false" outlineLevel="0" collapsed="false">
      <c r="A19" s="1" t="n">
        <v>18</v>
      </c>
      <c r="B19" s="3" t="s">
        <v>74</v>
      </c>
      <c r="C19" s="1" t="n">
        <v>3</v>
      </c>
      <c r="D19" s="1" t="n">
        <v>4</v>
      </c>
      <c r="E19" s="1" t="n">
        <v>1</v>
      </c>
      <c r="H19" s="1" t="n">
        <f aca="false">SUM(C19:G19)</f>
        <v>8</v>
      </c>
      <c r="I19" s="1" t="n">
        <v>5</v>
      </c>
      <c r="J19" s="1" t="s">
        <v>132</v>
      </c>
      <c r="K19" s="1" t="n">
        <v>1</v>
      </c>
      <c r="L19" s="1" t="s">
        <v>133</v>
      </c>
      <c r="M19" s="20" t="n">
        <f aca="false">SUM(K19,I19,H19)</f>
        <v>14</v>
      </c>
      <c r="N19" s="1" t="n">
        <f aca="false">M19-H19</f>
        <v>6</v>
      </c>
      <c r="O19" s="1" t="n">
        <v>1</v>
      </c>
    </row>
    <row r="20" customFormat="false" ht="15" hidden="false" customHeight="false" outlineLevel="0" collapsed="false">
      <c r="A20" s="1" t="n">
        <v>19</v>
      </c>
      <c r="B20" s="3" t="s">
        <v>77</v>
      </c>
      <c r="C20" s="1" t="n">
        <v>3</v>
      </c>
      <c r="H20" s="1" t="n">
        <f aca="false">SUM(C20:G20)</f>
        <v>3</v>
      </c>
      <c r="M20" s="20" t="n">
        <f aca="false">SUM(K20,I20,H20)</f>
        <v>3</v>
      </c>
      <c r="N20" s="1" t="n">
        <f aca="false">M20-H20</f>
        <v>0</v>
      </c>
      <c r="O20" s="1" t="n">
        <v>1</v>
      </c>
    </row>
    <row r="21" customFormat="false" ht="15" hidden="false" customHeight="false" outlineLevel="0" collapsed="false">
      <c r="A21" s="1" t="n">
        <v>20</v>
      </c>
      <c r="B21" s="3" t="s">
        <v>80</v>
      </c>
      <c r="C21" s="1" t="n">
        <v>2</v>
      </c>
      <c r="H21" s="1" t="n">
        <f aca="false">SUM(C21:G21)</f>
        <v>2</v>
      </c>
      <c r="M21" s="20" t="n">
        <f aca="false">SUM(K21,I21,H21)</f>
        <v>2</v>
      </c>
      <c r="N21" s="1" t="n">
        <f aca="false">M21-H21</f>
        <v>0</v>
      </c>
    </row>
    <row r="22" customFormat="false" ht="15" hidden="false" customHeight="false" outlineLevel="0" collapsed="false">
      <c r="A22" s="1" t="n">
        <v>21</v>
      </c>
      <c r="B22" s="3" t="s">
        <v>84</v>
      </c>
      <c r="C22" s="1" t="n">
        <v>3</v>
      </c>
      <c r="H22" s="1" t="n">
        <f aca="false">SUM(C22:G22)</f>
        <v>3</v>
      </c>
      <c r="M22" s="20" t="n">
        <f aca="false">SUM(K22,I22,H22)</f>
        <v>3</v>
      </c>
      <c r="N22" s="1" t="n">
        <f aca="false">M22-H22</f>
        <v>0</v>
      </c>
    </row>
    <row r="23" customFormat="false" ht="15" hidden="false" customHeight="false" outlineLevel="0" collapsed="false">
      <c r="A23" s="1" t="n">
        <v>22</v>
      </c>
      <c r="B23" s="3" t="s">
        <v>87</v>
      </c>
      <c r="C23" s="1" t="n">
        <v>3</v>
      </c>
      <c r="D23" s="1" t="n">
        <v>3</v>
      </c>
      <c r="H23" s="1" t="n">
        <f aca="false">SUM(C23:G23)</f>
        <v>6</v>
      </c>
      <c r="I23" s="1" t="n">
        <v>5</v>
      </c>
      <c r="J23" s="1" t="s">
        <v>132</v>
      </c>
      <c r="K23" s="1" t="n">
        <v>1</v>
      </c>
      <c r="L23" s="1" t="s">
        <v>133</v>
      </c>
      <c r="M23" s="20" t="n">
        <f aca="false">SUM(K23,I23,H23)</f>
        <v>12</v>
      </c>
      <c r="N23" s="1" t="n">
        <f aca="false">M23-H23</f>
        <v>6</v>
      </c>
      <c r="O23" s="1" t="n">
        <v>1</v>
      </c>
    </row>
    <row r="24" customFormat="false" ht="15" hidden="false" customHeight="false" outlineLevel="0" collapsed="false">
      <c r="A24" s="1" t="n">
        <v>23</v>
      </c>
      <c r="B24" s="3" t="s">
        <v>90</v>
      </c>
      <c r="C24" s="1" t="n">
        <v>4</v>
      </c>
      <c r="D24" s="1" t="n">
        <v>3</v>
      </c>
      <c r="E24" s="1" t="n">
        <v>2</v>
      </c>
      <c r="H24" s="1" t="n">
        <f aca="false">SUM(C24:G24)</f>
        <v>9</v>
      </c>
      <c r="I24" s="1" t="n">
        <v>5</v>
      </c>
      <c r="J24" s="1" t="s">
        <v>132</v>
      </c>
      <c r="K24" s="1" t="n">
        <v>1</v>
      </c>
      <c r="L24" s="1" t="s">
        <v>133</v>
      </c>
      <c r="M24" s="20" t="n">
        <f aca="false">SUM(K24,I24,H24)</f>
        <v>15</v>
      </c>
      <c r="N24" s="1" t="n">
        <f aca="false">M24-H24</f>
        <v>6</v>
      </c>
    </row>
    <row r="25" customFormat="false" ht="15" hidden="false" customHeight="false" outlineLevel="0" collapsed="false">
      <c r="A25" s="1" t="n">
        <v>24</v>
      </c>
      <c r="B25" s="3" t="s">
        <v>93</v>
      </c>
      <c r="C25" s="1" t="n">
        <v>2</v>
      </c>
      <c r="D25" s="1" t="n">
        <v>4</v>
      </c>
      <c r="E25" s="1" t="n">
        <v>6</v>
      </c>
      <c r="F25" s="1" t="n">
        <v>9</v>
      </c>
      <c r="G25" s="1" t="n">
        <v>10</v>
      </c>
      <c r="H25" s="1" t="n">
        <f aca="false">SUM(C25:G25)</f>
        <v>31</v>
      </c>
      <c r="I25" s="1" t="n">
        <v>5</v>
      </c>
      <c r="J25" s="1" t="s">
        <v>132</v>
      </c>
      <c r="K25" s="1" t="n">
        <v>1</v>
      </c>
      <c r="L25" s="1" t="s">
        <v>133</v>
      </c>
      <c r="M25" s="20" t="n">
        <f aca="false">SUM(K25,I25,H25)</f>
        <v>37</v>
      </c>
      <c r="N25" s="1" t="n">
        <f aca="false">M25-H25</f>
        <v>6</v>
      </c>
    </row>
    <row r="26" customFormat="false" ht="15" hidden="false" customHeight="false" outlineLevel="0" collapsed="false">
      <c r="A26" s="1" t="n">
        <v>25</v>
      </c>
      <c r="B26" s="3" t="s">
        <v>96</v>
      </c>
      <c r="C26" s="1" t="n">
        <v>3</v>
      </c>
      <c r="D26" s="1" t="n">
        <v>3</v>
      </c>
      <c r="E26" s="1" t="n">
        <v>6</v>
      </c>
      <c r="F26" s="1" t="n">
        <v>6</v>
      </c>
      <c r="G26" s="1" t="n">
        <v>2</v>
      </c>
      <c r="H26" s="1" t="n">
        <f aca="false">SUM(C26:G26)</f>
        <v>20</v>
      </c>
      <c r="I26" s="1" t="n">
        <v>5</v>
      </c>
      <c r="J26" s="1" t="s">
        <v>132</v>
      </c>
      <c r="K26" s="1" t="n">
        <v>1</v>
      </c>
      <c r="L26" s="1" t="s">
        <v>133</v>
      </c>
      <c r="M26" s="20" t="n">
        <f aca="false">SUM(K26,I26,H26)</f>
        <v>26</v>
      </c>
      <c r="N26" s="1" t="n">
        <f aca="false">M26-H26</f>
        <v>6</v>
      </c>
      <c r="O26" s="1" t="n">
        <v>1</v>
      </c>
    </row>
    <row r="27" customFormat="false" ht="15" hidden="false" customHeight="false" outlineLevel="0" collapsed="false">
      <c r="A27" s="1" t="n">
        <v>26</v>
      </c>
      <c r="B27" s="3" t="s">
        <v>99</v>
      </c>
      <c r="C27" s="1" t="n">
        <v>3</v>
      </c>
      <c r="H27" s="1" t="n">
        <f aca="false">SUM(C27:G27)</f>
        <v>3</v>
      </c>
      <c r="M27" s="20" t="n">
        <f aca="false">SUM(K27,I27,H27)</f>
        <v>3</v>
      </c>
    </row>
    <row r="28" customFormat="false" ht="15" hidden="false" customHeight="false" outlineLevel="0" collapsed="false">
      <c r="B28" s="1" t="s">
        <v>134</v>
      </c>
      <c r="C28" s="1" t="n">
        <f aca="false">COUNTIF(C2:C27,"&gt;0")</f>
        <v>19</v>
      </c>
      <c r="D28" s="1" t="n">
        <f aca="false">COUNTIF(D2:D27,"&gt;0")</f>
        <v>11</v>
      </c>
      <c r="E28" s="1" t="n">
        <f aca="false">COUNTIF(E2:E27,"&gt;0")</f>
        <v>9</v>
      </c>
      <c r="F28" s="1" t="n">
        <f aca="false">COUNTIF(F2:F27,"&gt;0")</f>
        <v>7</v>
      </c>
    </row>
    <row r="30" customFormat="false" ht="15" hidden="false" customHeight="false" outlineLevel="0" collapsed="false">
      <c r="I30" s="1" t="n">
        <f aca="false">COUNTIF(I2:I27,"&gt;0")</f>
        <v>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6" activeCellId="0" sqref="G6"/>
    </sheetView>
  </sheetViews>
  <sheetFormatPr defaultColWidth="9.6953125" defaultRowHeight="15" zeroHeight="false" outlineLevelRow="0" outlineLevelCol="0"/>
  <cols>
    <col collapsed="false" customWidth="true" hidden="false" outlineLevel="0" max="1" min="1" style="1" width="3.32"/>
    <col collapsed="false" customWidth="true" hidden="false" outlineLevel="0" max="2" min="2" style="1" width="18.83"/>
    <col collapsed="false" customWidth="true" hidden="false" outlineLevel="0" max="3" min="3" style="1" width="20.38"/>
  </cols>
  <sheetData>
    <row r="1" customFormat="false" ht="15" hidden="false" customHeight="false" outlineLevel="0" collapsed="false">
      <c r="C1" s="1" t="s">
        <v>2</v>
      </c>
      <c r="D1" s="1" t="s">
        <v>135</v>
      </c>
      <c r="E1" s="1" t="s">
        <v>136</v>
      </c>
      <c r="F1" s="1" t="s">
        <v>137</v>
      </c>
      <c r="G1" s="1" t="s">
        <v>115</v>
      </c>
      <c r="H1" s="1" t="s">
        <v>138</v>
      </c>
      <c r="I1" s="1" t="s">
        <v>125</v>
      </c>
    </row>
    <row r="2" customFormat="false" ht="15" hidden="false" customHeight="false" outlineLevel="0" collapsed="false">
      <c r="A2" s="1" t="n">
        <v>1</v>
      </c>
      <c r="B2" s="3" t="s">
        <v>15</v>
      </c>
      <c r="C2" s="1" t="s">
        <v>15</v>
      </c>
      <c r="D2" s="1" t="s">
        <v>139</v>
      </c>
      <c r="E2" s="1" t="s">
        <v>140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3" t="s">
        <v>22</v>
      </c>
      <c r="C3" s="1" t="s">
        <v>22</v>
      </c>
      <c r="D3" s="1" t="s">
        <v>141</v>
      </c>
      <c r="E3" s="1" t="s">
        <v>141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25</v>
      </c>
      <c r="C4" s="1" t="s">
        <v>25</v>
      </c>
      <c r="D4" s="1" t="s">
        <v>142</v>
      </c>
      <c r="E4" s="1" t="s">
        <v>143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32</v>
      </c>
      <c r="C6" s="1" t="s">
        <v>32</v>
      </c>
      <c r="D6" s="1" t="s">
        <v>144</v>
      </c>
      <c r="E6" s="1" t="s">
        <v>145</v>
      </c>
      <c r="F6" s="1" t="n">
        <v>5</v>
      </c>
      <c r="G6" s="1" t="n">
        <f aca="false">AVERAGE(F6:F7)</f>
        <v>3</v>
      </c>
      <c r="H6" s="1" t="n">
        <v>1</v>
      </c>
      <c r="I6" s="1" t="n">
        <f aca="false">MAX(H6,G6)</f>
        <v>3</v>
      </c>
    </row>
    <row r="7" customFormat="false" ht="15" hidden="false" customHeight="false" outlineLevel="0" collapsed="false">
      <c r="C7" s="1" t="s">
        <v>32</v>
      </c>
      <c r="D7" s="1" t="s">
        <v>146</v>
      </c>
      <c r="E7" s="1" t="s">
        <v>147</v>
      </c>
      <c r="F7" s="1" t="n">
        <v>1</v>
      </c>
    </row>
    <row r="8" customFormat="false" ht="15" hidden="false" customHeight="false" outlineLevel="0" collapsed="false">
      <c r="A8" s="1" t="n">
        <v>6</v>
      </c>
      <c r="B8" s="3" t="s">
        <v>35</v>
      </c>
      <c r="C8" s="1" t="s">
        <v>35</v>
      </c>
      <c r="D8" s="1" t="s">
        <v>141</v>
      </c>
      <c r="E8" s="1" t="s">
        <v>141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7</v>
      </c>
      <c r="B9" s="3" t="s">
        <v>39</v>
      </c>
      <c r="C9" s="1" t="s">
        <v>39</v>
      </c>
      <c r="D9" s="1" t="s">
        <v>148</v>
      </c>
      <c r="E9" s="1" t="s">
        <v>149</v>
      </c>
      <c r="F9" s="1" t="n">
        <v>9</v>
      </c>
      <c r="G9" s="1" t="n">
        <f aca="false">AVERAGE(F9:F12)</f>
        <v>7</v>
      </c>
      <c r="H9" s="1" t="n">
        <v>8</v>
      </c>
      <c r="I9" s="1" t="n">
        <f aca="false">MAX(H9,G9)</f>
        <v>8</v>
      </c>
    </row>
    <row r="10" customFormat="false" ht="15" hidden="false" customHeight="false" outlineLevel="0" collapsed="false">
      <c r="C10" s="1" t="s">
        <v>39</v>
      </c>
      <c r="D10" s="1" t="s">
        <v>150</v>
      </c>
      <c r="E10" s="1" t="s">
        <v>151</v>
      </c>
      <c r="F10" s="1" t="n">
        <v>8</v>
      </c>
    </row>
    <row r="11" customFormat="false" ht="15" hidden="false" customHeight="false" outlineLevel="0" collapsed="false">
      <c r="C11" s="1" t="s">
        <v>39</v>
      </c>
      <c r="D11" s="1" t="s">
        <v>152</v>
      </c>
      <c r="E11" s="1" t="s">
        <v>153</v>
      </c>
      <c r="F11" s="1" t="n">
        <v>8</v>
      </c>
    </row>
    <row r="12" customFormat="false" ht="15" hidden="false" customHeight="false" outlineLevel="0" collapsed="false">
      <c r="C12" s="1" t="s">
        <v>39</v>
      </c>
      <c r="D12" s="1" t="s">
        <v>154</v>
      </c>
      <c r="E12" s="1" t="s">
        <v>155</v>
      </c>
      <c r="F12" s="1" t="n">
        <v>3</v>
      </c>
    </row>
    <row r="13" customFormat="false" ht="15" hidden="false" customHeight="false" outlineLevel="0" collapsed="false">
      <c r="A13" s="1" t="n">
        <v>8</v>
      </c>
      <c r="B13" s="3" t="s">
        <v>42</v>
      </c>
      <c r="C13" s="1" t="s">
        <v>42</v>
      </c>
      <c r="D13" s="1" t="s">
        <v>156</v>
      </c>
      <c r="E13" s="1" t="s">
        <v>157</v>
      </c>
      <c r="F13" s="1" t="n">
        <v>9</v>
      </c>
      <c r="I13" s="1" t="n">
        <v>9</v>
      </c>
    </row>
    <row r="14" customFormat="false" ht="15" hidden="false" customHeight="false" outlineLevel="0" collapsed="false">
      <c r="A14" s="1" t="n">
        <v>9</v>
      </c>
      <c r="B14" s="3" t="s">
        <v>45</v>
      </c>
      <c r="C14" s="1" t="s">
        <v>45</v>
      </c>
      <c r="D14" s="1" t="s">
        <v>158</v>
      </c>
      <c r="E14" s="1" t="s">
        <v>159</v>
      </c>
      <c r="F14" s="1" t="n">
        <v>7</v>
      </c>
      <c r="I14" s="1" t="n">
        <v>7</v>
      </c>
    </row>
    <row r="15" customFormat="false" ht="15" hidden="false" customHeight="false" outlineLevel="0" collapsed="false">
      <c r="A15" s="1" t="n">
        <v>10</v>
      </c>
      <c r="B15" s="3" t="s">
        <v>48</v>
      </c>
      <c r="C15" s="1" t="s">
        <v>48</v>
      </c>
      <c r="D15" s="1" t="s">
        <v>160</v>
      </c>
      <c r="E15" s="1" t="s">
        <v>161</v>
      </c>
      <c r="F15" s="1" t="n">
        <v>8</v>
      </c>
      <c r="I15" s="1" t="n">
        <v>8</v>
      </c>
    </row>
    <row r="16" customFormat="false" ht="15" hidden="false" customHeight="false" outlineLevel="0" collapsed="false">
      <c r="A16" s="1" t="n">
        <v>11</v>
      </c>
      <c r="B16" s="3" t="s">
        <v>51</v>
      </c>
      <c r="C16" s="1" t="s">
        <v>51</v>
      </c>
      <c r="D16" s="1" t="s">
        <v>162</v>
      </c>
      <c r="E16" s="1" t="s">
        <v>163</v>
      </c>
      <c r="F16" s="1" t="n">
        <v>8</v>
      </c>
      <c r="G16" s="1" t="n">
        <f aca="false">AVERAGE(F16:F17)</f>
        <v>6</v>
      </c>
      <c r="H16" s="1" t="n">
        <v>4</v>
      </c>
      <c r="I16" s="1" t="n">
        <f aca="false">MAX(H16,G16)</f>
        <v>6</v>
      </c>
    </row>
    <row r="17" customFormat="false" ht="15" hidden="false" customHeight="false" outlineLevel="0" collapsed="false">
      <c r="C17" s="1" t="s">
        <v>51</v>
      </c>
      <c r="D17" s="1" t="s">
        <v>164</v>
      </c>
      <c r="E17" s="1" t="s">
        <v>165</v>
      </c>
      <c r="F17" s="1" t="n">
        <v>4</v>
      </c>
    </row>
    <row r="18" customFormat="false" ht="15" hidden="false" customHeight="false" outlineLevel="0" collapsed="false">
      <c r="A18" s="1" t="n">
        <v>12</v>
      </c>
      <c r="B18" s="3" t="s">
        <v>54</v>
      </c>
      <c r="C18" s="1" t="s">
        <v>54</v>
      </c>
      <c r="D18" s="1" t="s">
        <v>166</v>
      </c>
      <c r="E18" s="1" t="s">
        <v>167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13</v>
      </c>
      <c r="B19" s="3" t="s">
        <v>57</v>
      </c>
      <c r="C19" s="1" t="s">
        <v>57</v>
      </c>
      <c r="D19" s="1" t="s">
        <v>168</v>
      </c>
      <c r="E19" s="1" t="s">
        <v>169</v>
      </c>
      <c r="F19" s="1" t="n">
        <v>10</v>
      </c>
      <c r="G19" s="1" t="n">
        <f aca="false">AVERAGE(F19:F22)</f>
        <v>7.5</v>
      </c>
      <c r="H19" s="1" t="n">
        <v>9</v>
      </c>
      <c r="I19" s="1" t="n">
        <f aca="false">MAX(H19,G19)</f>
        <v>9</v>
      </c>
    </row>
    <row r="20" customFormat="false" ht="15" hidden="false" customHeight="false" outlineLevel="0" collapsed="false">
      <c r="C20" s="1" t="s">
        <v>57</v>
      </c>
      <c r="D20" s="1" t="s">
        <v>144</v>
      </c>
      <c r="E20" s="1" t="s">
        <v>170</v>
      </c>
      <c r="F20" s="1" t="n">
        <v>9</v>
      </c>
    </row>
    <row r="21" customFormat="false" ht="15" hidden="false" customHeight="false" outlineLevel="0" collapsed="false">
      <c r="C21" s="1" t="s">
        <v>57</v>
      </c>
      <c r="D21" s="1" t="s">
        <v>171</v>
      </c>
      <c r="E21" s="1" t="s">
        <v>172</v>
      </c>
      <c r="F21" s="1" t="n">
        <v>8</v>
      </c>
    </row>
    <row r="22" customFormat="false" ht="15" hidden="false" customHeight="false" outlineLevel="0" collapsed="false">
      <c r="C22" s="1" t="s">
        <v>57</v>
      </c>
      <c r="D22" s="1" t="s">
        <v>173</v>
      </c>
      <c r="E22" s="1" t="s">
        <v>174</v>
      </c>
      <c r="F22" s="1" t="n">
        <v>3</v>
      </c>
    </row>
    <row r="23" customFormat="false" ht="15" hidden="false" customHeight="false" outlineLevel="0" collapsed="false">
      <c r="A23" s="1" t="n">
        <v>14</v>
      </c>
      <c r="B23" s="3" t="s">
        <v>60</v>
      </c>
      <c r="C23" s="1" t="s">
        <v>60</v>
      </c>
      <c r="D23" s="1" t="s">
        <v>175</v>
      </c>
      <c r="E23" s="1" t="s">
        <v>176</v>
      </c>
      <c r="F23" s="1" t="n">
        <v>9</v>
      </c>
      <c r="I23" s="1" t="n">
        <v>9</v>
      </c>
    </row>
    <row r="24" customFormat="false" ht="15" hidden="false" customHeight="false" outlineLevel="0" collapsed="false">
      <c r="A24" s="1" t="n">
        <v>15</v>
      </c>
      <c r="B24" s="3" t="s">
        <v>64</v>
      </c>
      <c r="C24" s="1" t="s">
        <v>64</v>
      </c>
      <c r="D24" s="1" t="s">
        <v>177</v>
      </c>
      <c r="E24" s="1" t="s">
        <v>178</v>
      </c>
      <c r="F24" s="1" t="n">
        <v>9</v>
      </c>
      <c r="I24" s="1" t="n">
        <v>9</v>
      </c>
    </row>
    <row r="25" customFormat="false" ht="15" hidden="false" customHeight="false" outlineLevel="0" collapsed="false">
      <c r="A25" s="1" t="n">
        <v>16</v>
      </c>
      <c r="B25" s="3" t="s">
        <v>68</v>
      </c>
      <c r="C25" s="1" t="s">
        <v>68</v>
      </c>
      <c r="D25" s="1" t="s">
        <v>179</v>
      </c>
      <c r="E25" s="1" t="s">
        <v>180</v>
      </c>
      <c r="F25" s="1" t="n">
        <v>9</v>
      </c>
      <c r="G25" s="1" t="n">
        <f aca="false">AVERAGE(F25:F26)</f>
        <v>6.5</v>
      </c>
      <c r="H25" s="1" t="n">
        <v>4</v>
      </c>
      <c r="I25" s="1" t="n">
        <f aca="false">ROUND(MAX(H25,G25),0)</f>
        <v>7</v>
      </c>
    </row>
    <row r="26" customFormat="false" ht="15" hidden="false" customHeight="false" outlineLevel="0" collapsed="false">
      <c r="C26" s="1" t="s">
        <v>68</v>
      </c>
      <c r="D26" s="1" t="s">
        <v>181</v>
      </c>
      <c r="E26" s="1" t="s">
        <v>182</v>
      </c>
      <c r="F26" s="1" t="n">
        <v>4</v>
      </c>
    </row>
    <row r="27" customFormat="false" ht="15" hidden="false" customHeight="false" outlineLevel="0" collapsed="false">
      <c r="A27" s="1" t="n">
        <v>17</v>
      </c>
      <c r="B27" s="3" t="s">
        <v>71</v>
      </c>
      <c r="C27" s="1" t="s">
        <v>71</v>
      </c>
      <c r="D27" s="1" t="s">
        <v>181</v>
      </c>
      <c r="E27" s="1" t="s">
        <v>183</v>
      </c>
      <c r="F27" s="1" t="n">
        <v>7</v>
      </c>
      <c r="I27" s="1" t="n">
        <v>7</v>
      </c>
    </row>
    <row r="28" customFormat="false" ht="15" hidden="false" customHeight="false" outlineLevel="0" collapsed="false">
      <c r="A28" s="1" t="n">
        <v>18</v>
      </c>
      <c r="B28" s="3" t="s">
        <v>74</v>
      </c>
      <c r="C28" s="1" t="s">
        <v>74</v>
      </c>
      <c r="D28" s="1" t="s">
        <v>184</v>
      </c>
      <c r="E28" s="1" t="s">
        <v>185</v>
      </c>
      <c r="F28" s="1" t="n">
        <v>8</v>
      </c>
      <c r="G28" s="1" t="n">
        <f aca="false">AVERAGE(F28:F29)</f>
        <v>6.5</v>
      </c>
      <c r="H28" s="1" t="n">
        <v>4</v>
      </c>
      <c r="I28" s="1" t="n">
        <f aca="false">ROUND(MAX(H28,G28),0)</f>
        <v>7</v>
      </c>
    </row>
    <row r="29" customFormat="false" ht="15" hidden="false" customHeight="false" outlineLevel="0" collapsed="false">
      <c r="C29" s="1" t="s">
        <v>74</v>
      </c>
      <c r="D29" s="1" t="s">
        <v>186</v>
      </c>
      <c r="E29" s="1" t="s">
        <v>187</v>
      </c>
      <c r="F29" s="1" t="n">
        <v>5</v>
      </c>
    </row>
    <row r="30" customFormat="false" ht="15" hidden="false" customHeight="false" outlineLevel="0" collapsed="false">
      <c r="A30" s="1" t="n">
        <v>19</v>
      </c>
      <c r="B30" s="3" t="s">
        <v>77</v>
      </c>
      <c r="C30" s="1" t="s">
        <v>77</v>
      </c>
      <c r="D30" s="1" t="s">
        <v>188</v>
      </c>
      <c r="E30" s="1" t="s">
        <v>189</v>
      </c>
      <c r="F30" s="1" t="n">
        <v>10</v>
      </c>
      <c r="I30" s="1" t="n">
        <v>10</v>
      </c>
    </row>
    <row r="31" customFormat="false" ht="15" hidden="false" customHeight="false" outlineLevel="0" collapsed="false">
      <c r="A31" s="1" t="n">
        <v>20</v>
      </c>
      <c r="B31" s="3" t="s">
        <v>80</v>
      </c>
      <c r="C31" s="1" t="s">
        <v>80</v>
      </c>
      <c r="D31" s="1" t="s">
        <v>190</v>
      </c>
      <c r="E31" s="1" t="s">
        <v>191</v>
      </c>
      <c r="F31" s="1" t="n">
        <v>1</v>
      </c>
      <c r="I31" s="1" t="n">
        <v>1</v>
      </c>
    </row>
    <row r="32" customFormat="false" ht="15" hidden="false" customHeight="false" outlineLevel="0" collapsed="false">
      <c r="A32" s="1" t="n">
        <v>21</v>
      </c>
      <c r="B32" s="3" t="s">
        <v>84</v>
      </c>
      <c r="C32" s="1" t="s">
        <v>84</v>
      </c>
      <c r="D32" s="1" t="s">
        <v>192</v>
      </c>
      <c r="E32" s="1" t="s">
        <v>193</v>
      </c>
      <c r="F32" s="1" t="n">
        <v>9</v>
      </c>
      <c r="I32" s="1" t="n">
        <v>9</v>
      </c>
    </row>
    <row r="33" customFormat="false" ht="15" hidden="false" customHeight="false" outlineLevel="0" collapsed="false">
      <c r="A33" s="1" t="n">
        <v>22</v>
      </c>
      <c r="B33" s="3" t="s">
        <v>87</v>
      </c>
      <c r="C33" s="1" t="s">
        <v>87</v>
      </c>
      <c r="D33" s="1" t="s">
        <v>194</v>
      </c>
      <c r="E33" s="1" t="s">
        <v>195</v>
      </c>
      <c r="F33" s="1" t="n">
        <v>9</v>
      </c>
      <c r="I33" s="1" t="n">
        <v>9</v>
      </c>
    </row>
    <row r="34" customFormat="false" ht="15" hidden="false" customHeight="false" outlineLevel="0" collapsed="false">
      <c r="A34" s="1" t="n">
        <v>23</v>
      </c>
      <c r="B34" s="3" t="s">
        <v>90</v>
      </c>
      <c r="C34" s="1" t="s">
        <v>90</v>
      </c>
      <c r="D34" s="1" t="s">
        <v>196</v>
      </c>
      <c r="E34" s="1" t="s">
        <v>197</v>
      </c>
      <c r="F34" s="1" t="n">
        <v>9</v>
      </c>
      <c r="I34" s="1" t="n">
        <v>9</v>
      </c>
    </row>
    <row r="35" customFormat="false" ht="15" hidden="false" customHeight="false" outlineLevel="0" collapsed="false">
      <c r="A35" s="1" t="n">
        <v>24</v>
      </c>
      <c r="B35" s="3" t="s">
        <v>93</v>
      </c>
      <c r="C35" s="1" t="s">
        <v>93</v>
      </c>
      <c r="D35" s="1" t="s">
        <v>198</v>
      </c>
      <c r="E35" s="1" t="s">
        <v>199</v>
      </c>
      <c r="F35" s="1" t="n">
        <v>9</v>
      </c>
      <c r="G35" s="1" t="n">
        <f aca="false">AVERAGE(F35:F37)</f>
        <v>9</v>
      </c>
      <c r="H35" s="1" t="n">
        <v>9</v>
      </c>
      <c r="I35" s="1" t="n">
        <f aca="false">MAX(H35,G35)</f>
        <v>9</v>
      </c>
    </row>
    <row r="36" customFormat="false" ht="15" hidden="false" customHeight="false" outlineLevel="0" collapsed="false">
      <c r="C36" s="1" t="s">
        <v>93</v>
      </c>
      <c r="D36" s="1" t="s">
        <v>200</v>
      </c>
      <c r="E36" s="1" t="s">
        <v>201</v>
      </c>
      <c r="F36" s="1" t="n">
        <v>9</v>
      </c>
    </row>
    <row r="37" customFormat="false" ht="15" hidden="false" customHeight="false" outlineLevel="0" collapsed="false">
      <c r="C37" s="1" t="s">
        <v>93</v>
      </c>
      <c r="D37" s="1" t="s">
        <v>202</v>
      </c>
      <c r="E37" s="1" t="s">
        <v>203</v>
      </c>
      <c r="F37" s="1" t="n">
        <v>9</v>
      </c>
    </row>
    <row r="38" customFormat="false" ht="15" hidden="false" customHeight="false" outlineLevel="0" collapsed="false">
      <c r="A38" s="1" t="n">
        <v>25</v>
      </c>
      <c r="B38" s="3" t="s">
        <v>96</v>
      </c>
      <c r="C38" s="1" t="s">
        <v>96</v>
      </c>
      <c r="D38" s="1" t="s">
        <v>204</v>
      </c>
      <c r="E38" s="1" t="s">
        <v>205</v>
      </c>
      <c r="F38" s="1" t="n">
        <v>8</v>
      </c>
      <c r="I38" s="1" t="n">
        <v>8</v>
      </c>
    </row>
    <row r="39" customFormat="false" ht="15" hidden="false" customHeight="false" outlineLevel="0" collapsed="false">
      <c r="A39" s="1" t="n">
        <v>26</v>
      </c>
      <c r="B39" s="3" t="s">
        <v>99</v>
      </c>
      <c r="C39" s="1" t="s">
        <v>99</v>
      </c>
      <c r="D39" s="1" t="s">
        <v>206</v>
      </c>
      <c r="E39" s="1" t="s">
        <v>207</v>
      </c>
      <c r="F39" s="1" t="n">
        <v>6</v>
      </c>
      <c r="I39" s="1" t="n">
        <v>6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8" activeCellId="0" sqref="G8"/>
    </sheetView>
  </sheetViews>
  <sheetFormatPr defaultColWidth="9.6953125" defaultRowHeight="12.8" zeroHeight="false" outlineLevelRow="0" outlineLevelCol="0"/>
  <cols>
    <col collapsed="false" customWidth="true" hidden="false" outlineLevel="0" max="3" min="2" style="1" width="18.83"/>
  </cols>
  <sheetData>
    <row r="1" customFormat="false" ht="15" hidden="false" customHeight="false" outlineLevel="0" collapsed="false">
      <c r="C1" s="1" t="s">
        <v>2</v>
      </c>
      <c r="D1" s="1" t="s">
        <v>135</v>
      </c>
      <c r="E1" s="1" t="s">
        <v>136</v>
      </c>
      <c r="F1" s="1" t="s">
        <v>137</v>
      </c>
      <c r="G1" s="1" t="s">
        <v>115</v>
      </c>
      <c r="H1" s="1" t="s">
        <v>138</v>
      </c>
      <c r="I1" s="1" t="s">
        <v>125</v>
      </c>
    </row>
    <row r="2" customFormat="false" ht="15" hidden="false" customHeight="false" outlineLevel="0" collapsed="false">
      <c r="A2" s="1" t="n">
        <v>1</v>
      </c>
      <c r="B2" s="3" t="s">
        <v>15</v>
      </c>
      <c r="C2" s="1" t="s">
        <v>15</v>
      </c>
      <c r="D2" s="1" t="s">
        <v>208</v>
      </c>
      <c r="E2" s="1" t="s">
        <v>209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3" t="s">
        <v>22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25</v>
      </c>
      <c r="C4" s="1" t="s">
        <v>25</v>
      </c>
      <c r="D4" s="1" t="s">
        <v>210</v>
      </c>
      <c r="E4" s="1" t="s">
        <v>211</v>
      </c>
      <c r="F4" s="1" t="n">
        <v>10</v>
      </c>
      <c r="I4" s="1" t="n">
        <v>10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32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3" t="s">
        <v>35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3" t="s">
        <v>39</v>
      </c>
      <c r="C8" s="1" t="s">
        <v>39</v>
      </c>
      <c r="D8" s="1" t="s">
        <v>212</v>
      </c>
      <c r="E8" s="1" t="s">
        <v>213</v>
      </c>
      <c r="F8" s="1" t="n">
        <v>10</v>
      </c>
      <c r="G8" s="1" t="n">
        <f aca="false">AVERAGE(F8:F12)</f>
        <v>6.8</v>
      </c>
      <c r="H8" s="1" t="n">
        <v>7</v>
      </c>
      <c r="I8" s="1" t="n">
        <f aca="false">MAX(H8,G8)</f>
        <v>7</v>
      </c>
    </row>
    <row r="9" customFormat="false" ht="15" hidden="false" customHeight="false" outlineLevel="0" collapsed="false">
      <c r="C9" s="1" t="s">
        <v>39</v>
      </c>
      <c r="D9" s="1" t="s">
        <v>214</v>
      </c>
      <c r="E9" s="1" t="s">
        <v>215</v>
      </c>
      <c r="F9" s="1" t="n">
        <v>7</v>
      </c>
    </row>
    <row r="10" customFormat="false" ht="15" hidden="false" customHeight="false" outlineLevel="0" collapsed="false">
      <c r="C10" s="1" t="s">
        <v>39</v>
      </c>
      <c r="D10" s="1" t="s">
        <v>216</v>
      </c>
      <c r="E10" s="1" t="s">
        <v>217</v>
      </c>
      <c r="F10" s="1" t="n">
        <v>7</v>
      </c>
    </row>
    <row r="11" customFormat="false" ht="15" hidden="false" customHeight="false" outlineLevel="0" collapsed="false">
      <c r="C11" s="1" t="s">
        <v>39</v>
      </c>
      <c r="D11" s="1" t="s">
        <v>218</v>
      </c>
      <c r="E11" s="1" t="s">
        <v>219</v>
      </c>
      <c r="F11" s="1" t="n">
        <v>6</v>
      </c>
    </row>
    <row r="12" customFormat="false" ht="15" hidden="false" customHeight="false" outlineLevel="0" collapsed="false">
      <c r="C12" s="1" t="s">
        <v>39</v>
      </c>
      <c r="D12" s="1" t="s">
        <v>220</v>
      </c>
      <c r="E12" s="1" t="s">
        <v>161</v>
      </c>
      <c r="F12" s="1" t="n">
        <v>4</v>
      </c>
    </row>
    <row r="13" customFormat="false" ht="15" hidden="false" customHeight="false" outlineLevel="0" collapsed="false">
      <c r="A13" s="1" t="n">
        <v>8</v>
      </c>
      <c r="B13" s="3" t="s">
        <v>42</v>
      </c>
      <c r="F13" s="1" t="n">
        <v>3</v>
      </c>
      <c r="I13" s="1" t="n">
        <v>3</v>
      </c>
    </row>
    <row r="14" customFormat="false" ht="15" hidden="false" customHeight="false" outlineLevel="0" collapsed="false">
      <c r="A14" s="1" t="n">
        <v>9</v>
      </c>
      <c r="B14" s="3" t="s">
        <v>45</v>
      </c>
      <c r="C14" s="1" t="s">
        <v>45</v>
      </c>
      <c r="D14" s="1" t="s">
        <v>194</v>
      </c>
      <c r="E14" s="1" t="s">
        <v>221</v>
      </c>
      <c r="F14" s="1" t="n">
        <v>8</v>
      </c>
      <c r="I14" s="1" t="n">
        <v>8</v>
      </c>
    </row>
    <row r="15" customFormat="false" ht="15" hidden="false" customHeight="false" outlineLevel="0" collapsed="false">
      <c r="A15" s="1" t="n">
        <v>10</v>
      </c>
      <c r="B15" s="3" t="s">
        <v>48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11</v>
      </c>
      <c r="B16" s="3" t="s">
        <v>51</v>
      </c>
      <c r="C16" s="1" t="s">
        <v>51</v>
      </c>
      <c r="D16" s="1" t="s">
        <v>222</v>
      </c>
      <c r="E16" s="1" t="s">
        <v>223</v>
      </c>
      <c r="F16" s="1" t="n">
        <v>7</v>
      </c>
      <c r="I16" s="1" t="n">
        <v>7</v>
      </c>
    </row>
    <row r="17" customFormat="false" ht="15" hidden="false" customHeight="false" outlineLevel="0" collapsed="false">
      <c r="A17" s="1" t="n">
        <v>12</v>
      </c>
      <c r="B17" s="3" t="s">
        <v>54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13</v>
      </c>
      <c r="B18" s="3" t="s">
        <v>57</v>
      </c>
      <c r="C18" s="1" t="s">
        <v>57</v>
      </c>
      <c r="D18" s="1" t="s">
        <v>224</v>
      </c>
      <c r="E18" s="1" t="s">
        <v>225</v>
      </c>
      <c r="F18" s="1" t="n">
        <v>9</v>
      </c>
      <c r="I18" s="1" t="n">
        <v>9</v>
      </c>
    </row>
    <row r="19" customFormat="false" ht="15" hidden="false" customHeight="false" outlineLevel="0" collapsed="false">
      <c r="A19" s="1" t="n">
        <v>14</v>
      </c>
      <c r="B19" s="3" t="s">
        <v>60</v>
      </c>
      <c r="C19" s="1" t="s">
        <v>60</v>
      </c>
      <c r="D19" s="1" t="s">
        <v>226</v>
      </c>
      <c r="E19" s="1" t="s">
        <v>227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15</v>
      </c>
      <c r="B20" s="3" t="s">
        <v>64</v>
      </c>
      <c r="C20" s="1" t="s">
        <v>64</v>
      </c>
      <c r="D20" s="1" t="s">
        <v>228</v>
      </c>
      <c r="E20" s="1" t="s">
        <v>229</v>
      </c>
      <c r="F20" s="1" t="n">
        <v>5</v>
      </c>
      <c r="I20" s="1" t="n">
        <v>5</v>
      </c>
    </row>
    <row r="21" customFormat="false" ht="15" hidden="false" customHeight="false" outlineLevel="0" collapsed="false">
      <c r="A21" s="1" t="n">
        <v>16</v>
      </c>
      <c r="B21" s="3" t="s">
        <v>68</v>
      </c>
      <c r="C21" s="1" t="s">
        <v>68</v>
      </c>
      <c r="D21" s="1" t="s">
        <v>230</v>
      </c>
      <c r="E21" s="1" t="s">
        <v>231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17</v>
      </c>
      <c r="B22" s="3" t="s">
        <v>71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18</v>
      </c>
      <c r="B23" s="3" t="s">
        <v>74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19</v>
      </c>
      <c r="B24" s="3" t="s">
        <v>77</v>
      </c>
      <c r="C24" s="1" t="s">
        <v>77</v>
      </c>
      <c r="D24" s="1" t="s">
        <v>232</v>
      </c>
      <c r="E24" s="1" t="s">
        <v>233</v>
      </c>
      <c r="F24" s="1" t="n">
        <v>5</v>
      </c>
      <c r="I24" s="1" t="n">
        <v>5</v>
      </c>
    </row>
    <row r="25" customFormat="false" ht="15" hidden="false" customHeight="false" outlineLevel="0" collapsed="false">
      <c r="A25" s="1" t="n">
        <v>20</v>
      </c>
      <c r="B25" s="3" t="s">
        <v>80</v>
      </c>
      <c r="C25" s="1" t="s">
        <v>80</v>
      </c>
      <c r="D25" s="1" t="s">
        <v>234</v>
      </c>
      <c r="E25" s="1" t="s">
        <v>235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21</v>
      </c>
      <c r="B26" s="3" t="s">
        <v>84</v>
      </c>
      <c r="C26" s="1" t="s">
        <v>84</v>
      </c>
      <c r="D26" s="1" t="s">
        <v>236</v>
      </c>
      <c r="E26" s="1" t="s">
        <v>237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22</v>
      </c>
      <c r="B27" s="3" t="s">
        <v>87</v>
      </c>
      <c r="C27" s="1" t="s">
        <v>87</v>
      </c>
      <c r="D27" s="1" t="s">
        <v>238</v>
      </c>
      <c r="E27" s="1" t="s">
        <v>239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23</v>
      </c>
      <c r="B28" s="3" t="s">
        <v>90</v>
      </c>
      <c r="C28" s="1" t="s">
        <v>90</v>
      </c>
      <c r="D28" s="1" t="s">
        <v>240</v>
      </c>
      <c r="E28" s="1" t="s">
        <v>241</v>
      </c>
      <c r="F28" s="1" t="n">
        <v>10</v>
      </c>
      <c r="I28" s="1" t="n">
        <v>10</v>
      </c>
    </row>
    <row r="29" customFormat="false" ht="15" hidden="false" customHeight="false" outlineLevel="0" collapsed="false">
      <c r="A29" s="1" t="n">
        <v>24</v>
      </c>
      <c r="B29" s="3" t="s">
        <v>93</v>
      </c>
      <c r="C29" s="1" t="s">
        <v>93</v>
      </c>
      <c r="D29" s="1" t="s">
        <v>156</v>
      </c>
      <c r="E29" s="1" t="s">
        <v>242</v>
      </c>
      <c r="F29" s="1" t="n">
        <v>10</v>
      </c>
      <c r="G29" s="1" t="n">
        <f aca="false">AVERAGE(F29:F33)</f>
        <v>7</v>
      </c>
      <c r="H29" s="1" t="n">
        <v>1</v>
      </c>
      <c r="I29" s="1" t="n">
        <f aca="false">MAX(H29,G29)</f>
        <v>7</v>
      </c>
    </row>
    <row r="30" customFormat="false" ht="15" hidden="false" customHeight="false" outlineLevel="0" collapsed="false">
      <c r="C30" s="1" t="s">
        <v>93</v>
      </c>
      <c r="D30" s="1" t="s">
        <v>243</v>
      </c>
      <c r="E30" s="1" t="s">
        <v>244</v>
      </c>
      <c r="F30" s="1" t="n">
        <v>1</v>
      </c>
    </row>
    <row r="31" customFormat="false" ht="15" hidden="false" customHeight="false" outlineLevel="0" collapsed="false">
      <c r="A31" s="1" t="n">
        <v>25</v>
      </c>
      <c r="B31" s="3" t="s">
        <v>96</v>
      </c>
      <c r="C31" s="1" t="s">
        <v>96</v>
      </c>
      <c r="D31" s="1" t="s">
        <v>245</v>
      </c>
      <c r="E31" s="1" t="s">
        <v>246</v>
      </c>
      <c r="F31" s="1" t="n">
        <v>10</v>
      </c>
      <c r="I31" s="1" t="n">
        <v>10</v>
      </c>
    </row>
    <row r="32" customFormat="false" ht="15" hidden="false" customHeight="false" outlineLevel="0" collapsed="false">
      <c r="A32" s="1" t="n">
        <v>26</v>
      </c>
      <c r="B32" s="3" t="s">
        <v>99</v>
      </c>
      <c r="C32" s="1" t="s">
        <v>99</v>
      </c>
      <c r="D32" s="1" t="s">
        <v>247</v>
      </c>
      <c r="E32" s="1" t="s">
        <v>248</v>
      </c>
      <c r="F32" s="1" t="n">
        <v>7</v>
      </c>
      <c r="I32" s="1" t="n">
        <v>7</v>
      </c>
    </row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false" outlineLevel="0" collapsed="false"/>
    <row r="36" customFormat="false" ht="15" hidden="false" customHeight="false" outlineLevel="0" collapsed="false"/>
    <row r="37" customFormat="false" ht="15" hidden="false" customHeight="false" outlineLevel="0" collapsed="false"/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I29" activeCellId="0" sqref="I29"/>
    </sheetView>
  </sheetViews>
  <sheetFormatPr defaultColWidth="9.6953125" defaultRowHeight="12.8" zeroHeight="false" outlineLevelRow="0" outlineLevelCol="0"/>
  <cols>
    <col collapsed="false" customWidth="true" hidden="false" outlineLevel="0" max="3" min="2" style="1" width="18.83"/>
    <col collapsed="false" customWidth="true" hidden="false" outlineLevel="0" max="4" min="4" style="1" width="22.95"/>
    <col collapsed="false" customWidth="true" hidden="false" outlineLevel="0" max="5" min="5" style="1" width="14.25"/>
  </cols>
  <sheetData>
    <row r="1" customFormat="false" ht="15" hidden="false" customHeight="false" outlineLevel="0" collapsed="false">
      <c r="C1" s="1" t="s">
        <v>2</v>
      </c>
      <c r="D1" s="1" t="s">
        <v>135</v>
      </c>
      <c r="E1" s="1" t="s">
        <v>136</v>
      </c>
      <c r="F1" s="1" t="s">
        <v>137</v>
      </c>
      <c r="G1" s="1" t="s">
        <v>115</v>
      </c>
      <c r="H1" s="1" t="s">
        <v>138</v>
      </c>
      <c r="I1" s="1" t="s">
        <v>125</v>
      </c>
    </row>
    <row r="2" customFormat="false" ht="15" hidden="false" customHeight="false" outlineLevel="0" collapsed="false">
      <c r="A2" s="1" t="n">
        <v>1</v>
      </c>
      <c r="B2" s="3" t="s">
        <v>15</v>
      </c>
      <c r="C2" s="1" t="s">
        <v>15</v>
      </c>
      <c r="D2" s="1" t="s">
        <v>249</v>
      </c>
      <c r="E2" s="1" t="s">
        <v>250</v>
      </c>
      <c r="F2" s="1" t="n">
        <v>5</v>
      </c>
      <c r="I2" s="1" t="n">
        <v>5</v>
      </c>
    </row>
    <row r="3" customFormat="false" ht="15" hidden="false" customHeight="false" outlineLevel="0" collapsed="false">
      <c r="A3" s="1" t="n">
        <v>2</v>
      </c>
      <c r="B3" s="3" t="s">
        <v>22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25</v>
      </c>
      <c r="C4" s="1" t="s">
        <v>25</v>
      </c>
      <c r="D4" s="1" t="s">
        <v>251</v>
      </c>
      <c r="E4" s="1" t="s">
        <v>252</v>
      </c>
      <c r="F4" s="1" t="n">
        <v>6</v>
      </c>
      <c r="I4" s="1" t="n">
        <v>6</v>
      </c>
    </row>
    <row r="5" customFormat="false" ht="15" hidden="false" customHeight="false" outlineLevel="0" collapsed="false">
      <c r="A5" s="1" t="n">
        <v>4</v>
      </c>
      <c r="B5" s="3" t="s">
        <v>29</v>
      </c>
      <c r="C5" s="1" t="s">
        <v>29</v>
      </c>
      <c r="D5" s="1" t="s">
        <v>253</v>
      </c>
      <c r="E5" s="1" t="s">
        <v>254</v>
      </c>
      <c r="F5" s="1" t="n">
        <v>3</v>
      </c>
      <c r="I5" s="1" t="n">
        <v>3</v>
      </c>
    </row>
    <row r="6" customFormat="false" ht="15" hidden="false" customHeight="false" outlineLevel="0" collapsed="false">
      <c r="A6" s="1" t="n">
        <v>5</v>
      </c>
      <c r="B6" s="3" t="s">
        <v>32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3" t="s">
        <v>35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3" t="s">
        <v>39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3" t="s">
        <v>42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3" t="s">
        <v>45</v>
      </c>
      <c r="C10" s="1" t="s">
        <v>45</v>
      </c>
      <c r="D10" s="1" t="s">
        <v>255</v>
      </c>
      <c r="E10" s="1" t="s">
        <v>256</v>
      </c>
      <c r="F10" s="1" t="n">
        <v>9</v>
      </c>
      <c r="I10" s="1" t="n">
        <v>9</v>
      </c>
    </row>
    <row r="11" customFormat="false" ht="15" hidden="false" customHeight="false" outlineLevel="0" collapsed="false">
      <c r="A11" s="1" t="n">
        <v>10</v>
      </c>
      <c r="B11" s="3" t="s">
        <v>48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3" t="s">
        <v>51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12</v>
      </c>
      <c r="B13" s="3" t="s">
        <v>54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13</v>
      </c>
      <c r="B14" s="3" t="s">
        <v>57</v>
      </c>
      <c r="C14" s="1" t="s">
        <v>57</v>
      </c>
      <c r="D14" s="1" t="s">
        <v>257</v>
      </c>
      <c r="E14" s="1" t="s">
        <v>258</v>
      </c>
      <c r="F14" s="1" t="n">
        <v>9</v>
      </c>
      <c r="I14" s="1" t="n">
        <v>9</v>
      </c>
    </row>
    <row r="15" customFormat="false" ht="15" hidden="false" customHeight="false" outlineLevel="0" collapsed="false">
      <c r="A15" s="1" t="n">
        <v>14</v>
      </c>
      <c r="B15" s="3" t="s">
        <v>60</v>
      </c>
      <c r="C15" s="1" t="s">
        <v>60</v>
      </c>
      <c r="D15" s="1" t="s">
        <v>259</v>
      </c>
      <c r="E15" s="1" t="s">
        <v>260</v>
      </c>
      <c r="F15" s="1" t="n">
        <v>6</v>
      </c>
      <c r="I15" s="1" t="n">
        <v>6</v>
      </c>
    </row>
    <row r="16" customFormat="false" ht="15" hidden="false" customHeight="false" outlineLevel="0" collapsed="false">
      <c r="A16" s="1" t="n">
        <v>15</v>
      </c>
      <c r="B16" s="3" t="s">
        <v>64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16</v>
      </c>
      <c r="B17" s="3" t="s">
        <v>68</v>
      </c>
      <c r="C17" s="1" t="s">
        <v>68</v>
      </c>
      <c r="D17" s="1" t="s">
        <v>261</v>
      </c>
      <c r="E17" s="1" t="s">
        <v>262</v>
      </c>
      <c r="F17" s="1" t="n">
        <v>10</v>
      </c>
      <c r="G17" s="1" t="n">
        <f aca="false">AVERAGE(F17:F18)</f>
        <v>8</v>
      </c>
      <c r="H17" s="1" t="n">
        <v>7</v>
      </c>
      <c r="I17" s="1" t="n">
        <f aca="false">MAX(H17,G17)</f>
        <v>8</v>
      </c>
    </row>
    <row r="18" customFormat="false" ht="15" hidden="false" customHeight="false" outlineLevel="0" collapsed="false">
      <c r="C18" s="1" t="s">
        <v>68</v>
      </c>
      <c r="D18" s="1" t="s">
        <v>263</v>
      </c>
      <c r="E18" s="1" t="s">
        <v>264</v>
      </c>
      <c r="F18" s="1" t="n">
        <v>6</v>
      </c>
    </row>
    <row r="19" customFormat="false" ht="15" hidden="false" customHeight="false" outlineLevel="0" collapsed="false">
      <c r="A19" s="1" t="n">
        <v>17</v>
      </c>
      <c r="B19" s="3" t="s">
        <v>71</v>
      </c>
      <c r="C19" s="1" t="s">
        <v>71</v>
      </c>
      <c r="D19" s="1" t="s">
        <v>265</v>
      </c>
      <c r="E19" s="1" t="s">
        <v>145</v>
      </c>
      <c r="F19" s="1" t="n">
        <v>7</v>
      </c>
      <c r="I19" s="1" t="n">
        <v>7</v>
      </c>
    </row>
    <row r="20" customFormat="false" ht="15" hidden="false" customHeight="false" outlineLevel="0" collapsed="false">
      <c r="A20" s="1" t="n">
        <v>18</v>
      </c>
      <c r="B20" s="3" t="s">
        <v>74</v>
      </c>
      <c r="C20" s="1" t="s">
        <v>74</v>
      </c>
      <c r="D20" s="1" t="s">
        <v>266</v>
      </c>
      <c r="E20" s="1" t="s">
        <v>267</v>
      </c>
      <c r="F20" s="1" t="n">
        <v>6</v>
      </c>
      <c r="I20" s="1" t="n">
        <v>6</v>
      </c>
    </row>
    <row r="21" customFormat="false" ht="15" hidden="false" customHeight="false" outlineLevel="0" collapsed="false">
      <c r="A21" s="1" t="n">
        <v>19</v>
      </c>
      <c r="B21" s="3" t="s">
        <v>77</v>
      </c>
      <c r="C21" s="1" t="s">
        <v>77</v>
      </c>
      <c r="D21" s="1" t="s">
        <v>268</v>
      </c>
      <c r="E21" s="1" t="s">
        <v>269</v>
      </c>
      <c r="F21" s="1" t="n">
        <v>10</v>
      </c>
      <c r="I21" s="1" t="n">
        <v>10</v>
      </c>
    </row>
    <row r="22" customFormat="false" ht="15" hidden="false" customHeight="false" outlineLevel="0" collapsed="false">
      <c r="A22" s="1" t="n">
        <v>20</v>
      </c>
      <c r="B22" s="3" t="s">
        <v>80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21</v>
      </c>
      <c r="B23" s="3" t="s">
        <v>84</v>
      </c>
      <c r="C23" s="1" t="s">
        <v>84</v>
      </c>
      <c r="D23" s="1" t="s">
        <v>270</v>
      </c>
      <c r="E23" s="1" t="s">
        <v>271</v>
      </c>
      <c r="F23" s="1" t="n">
        <v>8</v>
      </c>
      <c r="I23" s="1" t="n">
        <v>8</v>
      </c>
    </row>
    <row r="24" customFormat="false" ht="15" hidden="false" customHeight="false" outlineLevel="0" collapsed="false">
      <c r="A24" s="1" t="n">
        <v>22</v>
      </c>
      <c r="B24" s="3" t="s">
        <v>87</v>
      </c>
      <c r="C24" s="1" t="s">
        <v>87</v>
      </c>
      <c r="D24" s="1" t="s">
        <v>272</v>
      </c>
      <c r="E24" s="1" t="s">
        <v>273</v>
      </c>
      <c r="F24" s="1" t="n">
        <v>10</v>
      </c>
      <c r="G24" s="1" t="n">
        <f aca="false">AVERAGE(F24:F25)</f>
        <v>9.5</v>
      </c>
      <c r="H24" s="1" t="n">
        <v>9</v>
      </c>
      <c r="I24" s="1" t="n">
        <f aca="false">MAX(H24,G24)</f>
        <v>9.5</v>
      </c>
    </row>
    <row r="25" customFormat="false" ht="15" hidden="false" customHeight="false" outlineLevel="0" collapsed="false">
      <c r="C25" s="1" t="s">
        <v>87</v>
      </c>
      <c r="D25" s="1" t="s">
        <v>274</v>
      </c>
      <c r="E25" s="1" t="s">
        <v>275</v>
      </c>
      <c r="F25" s="1" t="n">
        <v>9</v>
      </c>
    </row>
    <row r="26" customFormat="false" ht="15" hidden="false" customHeight="false" outlineLevel="0" collapsed="false">
      <c r="A26" s="1" t="n">
        <v>23</v>
      </c>
      <c r="B26" s="3" t="s">
        <v>90</v>
      </c>
      <c r="C26" s="1" t="s">
        <v>90</v>
      </c>
      <c r="D26" s="1" t="s">
        <v>276</v>
      </c>
      <c r="E26" s="1" t="s">
        <v>277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24</v>
      </c>
      <c r="B27" s="3" t="s">
        <v>93</v>
      </c>
      <c r="C27" s="1" t="s">
        <v>93</v>
      </c>
      <c r="D27" s="1" t="s">
        <v>278</v>
      </c>
      <c r="E27" s="1" t="s">
        <v>279</v>
      </c>
      <c r="F27" s="1" t="n">
        <v>9</v>
      </c>
      <c r="I27" s="1" t="n">
        <v>9</v>
      </c>
    </row>
    <row r="28" customFormat="false" ht="15" hidden="false" customHeight="false" outlineLevel="0" collapsed="false">
      <c r="A28" s="1" t="n">
        <v>25</v>
      </c>
      <c r="B28" s="3" t="s">
        <v>96</v>
      </c>
      <c r="C28" s="1" t="s">
        <v>96</v>
      </c>
      <c r="D28" s="1" t="s">
        <v>280</v>
      </c>
      <c r="E28" s="1" t="s">
        <v>256</v>
      </c>
      <c r="F28" s="1" t="n">
        <v>10</v>
      </c>
      <c r="I28" s="1" t="n">
        <v>10</v>
      </c>
    </row>
    <row r="29" customFormat="false" ht="15" hidden="false" customHeight="false" outlineLevel="0" collapsed="false">
      <c r="A29" s="1" t="n">
        <v>26</v>
      </c>
      <c r="B29" s="3" t="s">
        <v>99</v>
      </c>
      <c r="F29" s="1" t="n">
        <v>1</v>
      </c>
      <c r="I29" s="1" t="n">
        <v>1</v>
      </c>
    </row>
    <row r="30" customFormat="false" ht="15" hidden="false" customHeight="false" outlineLevel="0" collapsed="false">
      <c r="H30" s="1" t="s">
        <v>281</v>
      </c>
      <c r="I30" s="1" t="n">
        <f aca="false">COUNTIF(I2:I29,"&gt;0")</f>
        <v>26</v>
      </c>
    </row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false" outlineLevel="0" collapsed="false"/>
    <row r="36" customFormat="false" ht="15" hidden="false" customHeight="false" outlineLevel="0" collapsed="false"/>
    <row r="37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" activeCellId="0" sqref="D3"/>
    </sheetView>
  </sheetViews>
  <sheetFormatPr defaultColWidth="9.65625" defaultRowHeight="12.8" zeroHeight="false" outlineLevelRow="0" outlineLevelCol="0"/>
  <cols>
    <col collapsed="false" customWidth="true" hidden="false" outlineLevel="0" max="1" min="1" style="1" width="16.47"/>
    <col collapsed="false" customWidth="true" hidden="false" outlineLevel="0" max="2" min="2" style="1" width="22.56"/>
    <col collapsed="false" customWidth="true" hidden="false" outlineLevel="0" max="3" min="3" style="1" width="21.19"/>
  </cols>
  <sheetData>
    <row r="1" customFormat="false" ht="15" hidden="false" customHeight="false" outlineLevel="0" collapsed="false">
      <c r="A1" s="1" t="s">
        <v>2</v>
      </c>
      <c r="B1" s="1" t="s">
        <v>135</v>
      </c>
      <c r="C1" s="1" t="s">
        <v>136</v>
      </c>
      <c r="D1" s="1" t="s">
        <v>282</v>
      </c>
      <c r="E1" s="1" t="s">
        <v>283</v>
      </c>
      <c r="F1" s="1" t="s">
        <v>284</v>
      </c>
      <c r="G1" s="1" t="s">
        <v>285</v>
      </c>
      <c r="H1" s="1" t="s">
        <v>286</v>
      </c>
      <c r="I1" s="1" t="s">
        <v>287</v>
      </c>
      <c r="J1" s="1" t="s">
        <v>288</v>
      </c>
      <c r="K1" s="1" t="s">
        <v>289</v>
      </c>
      <c r="L1" s="1" t="s">
        <v>290</v>
      </c>
      <c r="M1" s="1" t="s">
        <v>291</v>
      </c>
    </row>
    <row r="2" customFormat="false" ht="15" hidden="false" customHeight="false" outlineLevel="0" collapsed="false">
      <c r="A2" s="1" t="s">
        <v>74</v>
      </c>
      <c r="B2" s="1" t="s">
        <v>292</v>
      </c>
      <c r="C2" s="1" t="s">
        <v>293</v>
      </c>
      <c r="D2" s="1" t="n">
        <v>3</v>
      </c>
      <c r="E2" s="1" t="n">
        <v>0</v>
      </c>
      <c r="F2" s="1" t="n">
        <v>0</v>
      </c>
      <c r="G2" s="1" t="n">
        <v>1</v>
      </c>
      <c r="H2" s="1" t="n">
        <v>0</v>
      </c>
      <c r="I2" s="1" t="n">
        <v>0</v>
      </c>
      <c r="J2" s="1" t="n">
        <v>0</v>
      </c>
      <c r="K2" s="1" t="n">
        <v>1</v>
      </c>
      <c r="L2" s="1" t="n">
        <v>1</v>
      </c>
      <c r="M2" s="1" t="n">
        <v>0</v>
      </c>
    </row>
    <row r="3" customFormat="false" ht="15" hidden="false" customHeight="false" outlineLevel="0" collapsed="false">
      <c r="A3" s="1" t="s">
        <v>54</v>
      </c>
      <c r="B3" s="1" t="s">
        <v>294</v>
      </c>
      <c r="C3" s="1" t="s">
        <v>295</v>
      </c>
      <c r="D3" s="1" t="n">
        <v>6</v>
      </c>
      <c r="E3" s="1" t="n">
        <v>1</v>
      </c>
      <c r="F3" s="1" t="n">
        <v>1</v>
      </c>
      <c r="G3" s="1" t="n">
        <v>1</v>
      </c>
      <c r="H3" s="1" t="n">
        <v>1</v>
      </c>
      <c r="I3" s="1" t="n">
        <v>0</v>
      </c>
      <c r="J3" s="1" t="n">
        <v>1</v>
      </c>
      <c r="K3" s="1" t="n">
        <v>0</v>
      </c>
      <c r="L3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4" activeCellId="0" sqref="D4"/>
    </sheetView>
  </sheetViews>
  <sheetFormatPr defaultColWidth="9.65625" defaultRowHeight="12.8" zeroHeight="false" outlineLevelRow="0" outlineLevelCol="0"/>
  <cols>
    <col collapsed="false" customWidth="true" hidden="false" outlineLevel="0" max="1" min="1" style="1" width="12.3"/>
    <col collapsed="false" customWidth="true" hidden="false" outlineLevel="0" max="2" min="2" style="1" width="22.56"/>
    <col collapsed="false" customWidth="true" hidden="false" outlineLevel="0" max="3" min="3" style="1" width="21.19"/>
  </cols>
  <sheetData>
    <row r="1" customFormat="false" ht="15" hidden="false" customHeight="false" outlineLevel="0" collapsed="false">
      <c r="A1" s="1" t="s">
        <v>2</v>
      </c>
      <c r="B1" s="1" t="s">
        <v>135</v>
      </c>
      <c r="C1" s="1" t="s">
        <v>136</v>
      </c>
      <c r="D1" s="1" t="s">
        <v>282</v>
      </c>
      <c r="E1" s="1" t="s">
        <v>283</v>
      </c>
      <c r="F1" s="1" t="s">
        <v>284</v>
      </c>
      <c r="G1" s="1" t="s">
        <v>285</v>
      </c>
      <c r="H1" s="1" t="s">
        <v>286</v>
      </c>
      <c r="I1" s="1" t="s">
        <v>287</v>
      </c>
      <c r="J1" s="1" t="s">
        <v>288</v>
      </c>
      <c r="K1" s="1" t="s">
        <v>289</v>
      </c>
      <c r="L1" s="1" t="s">
        <v>290</v>
      </c>
      <c r="M1" s="1" t="s">
        <v>291</v>
      </c>
    </row>
    <row r="2" customFormat="false" ht="15" hidden="false" customHeight="false" outlineLevel="0" collapsed="false">
      <c r="A2" s="1" t="s">
        <v>48</v>
      </c>
      <c r="B2" s="1" t="s">
        <v>296</v>
      </c>
      <c r="C2" s="1" t="s">
        <v>297</v>
      </c>
      <c r="D2" s="1" t="n">
        <v>7</v>
      </c>
      <c r="E2" s="1" t="n">
        <v>1</v>
      </c>
      <c r="F2" s="1" t="n">
        <v>1</v>
      </c>
      <c r="G2" s="1" t="n">
        <v>1</v>
      </c>
      <c r="H2" s="1" t="n">
        <v>1</v>
      </c>
      <c r="I2" s="1" t="n">
        <v>1</v>
      </c>
      <c r="J2" s="1" t="n">
        <v>1</v>
      </c>
      <c r="K2" s="1" t="n">
        <v>1</v>
      </c>
    </row>
    <row r="3" customFormat="false" ht="15" hidden="false" customHeight="false" outlineLevel="0" collapsed="false">
      <c r="A3" s="1" t="s">
        <v>54</v>
      </c>
      <c r="B3" s="1" t="s">
        <v>298</v>
      </c>
      <c r="C3" s="1" t="s">
        <v>299</v>
      </c>
      <c r="D3" s="1" t="n">
        <v>4</v>
      </c>
      <c r="E3" s="1" t="n">
        <v>1</v>
      </c>
      <c r="F3" s="1" t="n">
        <v>1</v>
      </c>
      <c r="G3" s="1" t="n">
        <v>1</v>
      </c>
      <c r="H3" s="1" t="n">
        <v>0</v>
      </c>
      <c r="I3" s="1" t="n">
        <v>0</v>
      </c>
      <c r="J3" s="1" t="n">
        <v>1</v>
      </c>
      <c r="K3" s="1" t="n">
        <v>0</v>
      </c>
      <c r="L3" s="1" t="n">
        <v>0</v>
      </c>
    </row>
    <row r="4" customFormat="false" ht="15" hidden="false" customHeight="false" outlineLevel="0" collapsed="false">
      <c r="A4" s="1" t="s">
        <v>77</v>
      </c>
      <c r="B4" s="1" t="s">
        <v>300</v>
      </c>
      <c r="C4" s="1" t="s">
        <v>301</v>
      </c>
      <c r="D4" s="1" t="n">
        <v>9</v>
      </c>
      <c r="E4" s="1" t="n">
        <v>1</v>
      </c>
      <c r="F4" s="1" t="n">
        <v>1</v>
      </c>
      <c r="G4" s="1" t="n">
        <v>1</v>
      </c>
      <c r="H4" s="1" t="n">
        <v>1</v>
      </c>
      <c r="I4" s="1" t="n">
        <v>1</v>
      </c>
      <c r="J4" s="1" t="n">
        <v>1</v>
      </c>
      <c r="K4" s="1" t="n">
        <v>1</v>
      </c>
      <c r="L4" s="1" t="n">
        <v>1</v>
      </c>
      <c r="M4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4" activeCellId="0" sqref="D4"/>
    </sheetView>
  </sheetViews>
  <sheetFormatPr defaultColWidth="9.65625" defaultRowHeight="12.8" zeroHeight="false" outlineLevelRow="0" outlineLevelCol="0"/>
  <cols>
    <col collapsed="false" customWidth="true" hidden="false" outlineLevel="0" max="1" min="1" style="1" width="12.94"/>
    <col collapsed="false" customWidth="true" hidden="false" outlineLevel="0" max="2" min="2" style="1" width="22.56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2</v>
      </c>
      <c r="B1" s="1" t="s">
        <v>135</v>
      </c>
      <c r="C1" s="1" t="s">
        <v>136</v>
      </c>
      <c r="D1" s="1" t="s">
        <v>282</v>
      </c>
      <c r="E1" s="1" t="s">
        <v>283</v>
      </c>
      <c r="F1" s="1" t="s">
        <v>284</v>
      </c>
      <c r="G1" s="1" t="s">
        <v>285</v>
      </c>
      <c r="H1" s="1" t="s">
        <v>286</v>
      </c>
      <c r="I1" s="1" t="s">
        <v>287</v>
      </c>
      <c r="J1" s="1" t="s">
        <v>288</v>
      </c>
      <c r="K1" s="1" t="s">
        <v>289</v>
      </c>
      <c r="L1" s="1" t="s">
        <v>290</v>
      </c>
      <c r="M1" s="1" t="s">
        <v>291</v>
      </c>
    </row>
    <row r="2" customFormat="false" ht="15" hidden="false" customHeight="false" outlineLevel="0" collapsed="false">
      <c r="A2" s="1" t="s">
        <v>39</v>
      </c>
      <c r="B2" s="1" t="s">
        <v>302</v>
      </c>
      <c r="C2" s="1" t="s">
        <v>303</v>
      </c>
      <c r="D2" s="1" t="n">
        <v>6</v>
      </c>
      <c r="E2" s="1" t="n">
        <v>1</v>
      </c>
      <c r="F2" s="1" t="n">
        <v>1</v>
      </c>
      <c r="G2" s="1" t="n">
        <v>1</v>
      </c>
      <c r="H2" s="1" t="n">
        <v>1</v>
      </c>
      <c r="I2" s="1" t="n">
        <v>1</v>
      </c>
      <c r="J2" s="1" t="n">
        <v>1</v>
      </c>
      <c r="K2" s="1" t="n">
        <v>0</v>
      </c>
      <c r="L2" s="1" t="n">
        <v>0</v>
      </c>
    </row>
    <row r="3" customFormat="false" ht="15" hidden="false" customHeight="false" outlineLevel="0" collapsed="false">
      <c r="A3" s="1" t="s">
        <v>48</v>
      </c>
      <c r="B3" s="1" t="s">
        <v>304</v>
      </c>
      <c r="C3" s="1" t="s">
        <v>305</v>
      </c>
      <c r="D3" s="1" t="n">
        <v>6</v>
      </c>
      <c r="E3" s="1" t="n">
        <v>1</v>
      </c>
      <c r="F3" s="1" t="n">
        <v>1</v>
      </c>
      <c r="G3" s="1" t="n">
        <v>1</v>
      </c>
      <c r="H3" s="1" t="n">
        <v>1</v>
      </c>
      <c r="I3" s="1" t="n">
        <v>1</v>
      </c>
      <c r="J3" s="1" t="n">
        <v>1</v>
      </c>
      <c r="K3" s="1" t="n">
        <v>0</v>
      </c>
      <c r="L3" s="1" t="n">
        <v>0</v>
      </c>
    </row>
    <row r="4" customFormat="false" ht="15" hidden="false" customHeight="false" outlineLevel="0" collapsed="false">
      <c r="A4" s="1" t="s">
        <v>54</v>
      </c>
      <c r="B4" s="1" t="s">
        <v>306</v>
      </c>
      <c r="C4" s="1" t="s">
        <v>307</v>
      </c>
      <c r="D4" s="1" t="n">
        <v>3</v>
      </c>
      <c r="E4" s="1" t="n">
        <v>0</v>
      </c>
      <c r="F4" s="1" t="n">
        <v>1</v>
      </c>
      <c r="G4" s="1" t="n">
        <v>0</v>
      </c>
      <c r="H4" s="1" t="n">
        <v>0</v>
      </c>
      <c r="I4" s="1" t="n">
        <v>1</v>
      </c>
      <c r="J4" s="1" t="n">
        <v>1</v>
      </c>
      <c r="K4" s="1" t="n">
        <v>0</v>
      </c>
      <c r="L4" s="1" t="n">
        <v>0</v>
      </c>
      <c r="M4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9" activeCellId="0" sqref="G9"/>
    </sheetView>
  </sheetViews>
  <sheetFormatPr defaultColWidth="9.65625" defaultRowHeight="12.8" zeroHeight="false" outlineLevelRow="0" outlineLevelCol="0"/>
  <sheetData>
    <row r="1" customFormat="false" ht="15" hidden="false" customHeight="false" outlineLevel="0" collapsed="false">
      <c r="A1" s="1" t="s">
        <v>2</v>
      </c>
      <c r="B1" s="1" t="s">
        <v>135</v>
      </c>
      <c r="C1" s="1" t="s">
        <v>136</v>
      </c>
      <c r="D1" s="1" t="s">
        <v>137</v>
      </c>
      <c r="E1" s="1" t="s">
        <v>308</v>
      </c>
      <c r="F1" s="1" t="s">
        <v>309</v>
      </c>
      <c r="G1" s="1" t="s">
        <v>109</v>
      </c>
    </row>
    <row r="2" customFormat="false" ht="15" hidden="false" customHeight="false" outlineLevel="0" collapsed="false">
      <c r="A2" s="1" t="s">
        <v>25</v>
      </c>
      <c r="B2" s="1" t="s">
        <v>310</v>
      </c>
      <c r="C2" s="1" t="s">
        <v>311</v>
      </c>
      <c r="D2" s="1" t="n">
        <v>0</v>
      </c>
      <c r="E2" s="1" t="n">
        <v>0</v>
      </c>
      <c r="F2" s="1" t="n">
        <v>0</v>
      </c>
      <c r="G2" s="1" t="n">
        <f aca="false">ROUND(D2,0)</f>
        <v>0</v>
      </c>
    </row>
    <row r="3" customFormat="false" ht="15" hidden="false" customHeight="false" outlineLevel="0" collapsed="false">
      <c r="A3" s="1" t="s">
        <v>45</v>
      </c>
      <c r="B3" s="1" t="s">
        <v>312</v>
      </c>
      <c r="C3" s="1" t="s">
        <v>313</v>
      </c>
      <c r="D3" s="1" t="n">
        <v>0</v>
      </c>
      <c r="E3" s="1" t="n">
        <v>0</v>
      </c>
      <c r="F3" s="1" t="n">
        <v>0</v>
      </c>
      <c r="G3" s="1" t="n">
        <f aca="false">ROUND(D3,0)</f>
        <v>0</v>
      </c>
    </row>
    <row r="4" customFormat="false" ht="15" hidden="false" customHeight="false" outlineLevel="0" collapsed="false">
      <c r="A4" s="1" t="s">
        <v>48</v>
      </c>
      <c r="B4" s="1" t="s">
        <v>314</v>
      </c>
      <c r="C4" s="1" t="s">
        <v>315</v>
      </c>
      <c r="D4" s="1" t="n">
        <v>0</v>
      </c>
      <c r="E4" s="1" t="n">
        <v>0</v>
      </c>
      <c r="F4" s="1" t="n">
        <v>0</v>
      </c>
      <c r="G4" s="1" t="n">
        <f aca="false">ROUND(D4,0)</f>
        <v>0</v>
      </c>
    </row>
    <row r="5" customFormat="false" ht="15" hidden="false" customHeight="false" outlineLevel="0" collapsed="false">
      <c r="A5" s="1" t="s">
        <v>48</v>
      </c>
      <c r="B5" s="1" t="s">
        <v>316</v>
      </c>
      <c r="C5" s="1" t="s">
        <v>317</v>
      </c>
      <c r="D5" s="1" t="n">
        <v>0</v>
      </c>
      <c r="E5" s="1" t="n">
        <v>0</v>
      </c>
      <c r="F5" s="1" t="n">
        <v>0</v>
      </c>
      <c r="G5" s="1" t="n">
        <f aca="false">ROUND(D5,0)</f>
        <v>0</v>
      </c>
    </row>
    <row r="6" customFormat="false" ht="15" hidden="false" customHeight="false" outlineLevel="0" collapsed="false">
      <c r="A6" s="1" t="s">
        <v>57</v>
      </c>
      <c r="B6" s="1" t="s">
        <v>310</v>
      </c>
      <c r="C6" s="1" t="s">
        <v>318</v>
      </c>
      <c r="D6" s="1" t="n">
        <v>0</v>
      </c>
      <c r="E6" s="1" t="n">
        <v>0</v>
      </c>
      <c r="F6" s="1" t="n">
        <v>0</v>
      </c>
      <c r="G6" s="1" t="n">
        <f aca="false">ROUND(D6,0)</f>
        <v>0</v>
      </c>
    </row>
    <row r="7" customFormat="false" ht="15" hidden="false" customHeight="false" outlineLevel="0" collapsed="false">
      <c r="A7" s="1" t="s">
        <v>71</v>
      </c>
      <c r="B7" s="1" t="s">
        <v>314</v>
      </c>
      <c r="C7" s="1" t="s">
        <v>319</v>
      </c>
      <c r="D7" s="1" t="n">
        <v>0</v>
      </c>
      <c r="E7" s="1" t="n">
        <v>0</v>
      </c>
      <c r="F7" s="1" t="n">
        <v>0</v>
      </c>
      <c r="G7" s="1" t="n">
        <f aca="false">ROUND(D7,0)</f>
        <v>0</v>
      </c>
    </row>
    <row r="8" customFormat="false" ht="15" hidden="false" customHeight="false" outlineLevel="0" collapsed="false">
      <c r="A8" s="1" t="s">
        <v>93</v>
      </c>
      <c r="B8" s="1" t="s">
        <v>320</v>
      </c>
      <c r="C8" s="1" t="s">
        <v>321</v>
      </c>
      <c r="D8" s="1" t="n">
        <v>10</v>
      </c>
      <c r="E8" s="1" t="n">
        <v>1.67</v>
      </c>
      <c r="F8" s="1" t="n">
        <v>8.33</v>
      </c>
      <c r="G8" s="1" t="n">
        <f aca="false">ROUND(D8,0)</f>
        <v>10</v>
      </c>
    </row>
    <row r="9" customFormat="false" ht="15" hidden="false" customHeight="false" outlineLevel="0" collapsed="false">
      <c r="A9" s="1" t="s">
        <v>96</v>
      </c>
      <c r="B9" s="1" t="s">
        <v>322</v>
      </c>
      <c r="C9" s="1" t="s">
        <v>323</v>
      </c>
      <c r="D9" s="1" t="n">
        <v>1.67</v>
      </c>
      <c r="E9" s="1" t="n">
        <v>1.67</v>
      </c>
      <c r="F9" s="1" t="s">
        <v>141</v>
      </c>
      <c r="G9" s="1" t="n">
        <f aca="false">ROUND(D9,0)</f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2" colorId="64" zoomScale="75" zoomScaleNormal="75" zoomScalePageLayoutView="100" workbookViewId="0">
      <selection pane="topLeft" activeCell="B9" activeCellId="0" sqref="B9"/>
    </sheetView>
  </sheetViews>
  <sheetFormatPr defaultColWidth="9.4804687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1.98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136</v>
      </c>
      <c r="F1" s="1" t="s">
        <v>137</v>
      </c>
      <c r="G1" s="1" t="s">
        <v>115</v>
      </c>
      <c r="H1" s="1" t="s">
        <v>138</v>
      </c>
      <c r="I1" s="1" t="s">
        <v>125</v>
      </c>
    </row>
    <row r="2" customFormat="false" ht="15" hidden="false" customHeight="false" outlineLevel="0" collapsed="false">
      <c r="A2" s="1" t="n">
        <v>1</v>
      </c>
      <c r="B2" s="3" t="s">
        <v>15</v>
      </c>
      <c r="C2" s="1" t="s">
        <v>15</v>
      </c>
      <c r="D2" s="1" t="s">
        <v>14</v>
      </c>
      <c r="E2" s="1" t="s">
        <v>324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3" t="s">
        <v>22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25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3" t="s">
        <v>29</v>
      </c>
      <c r="C5" s="1" t="s">
        <v>29</v>
      </c>
      <c r="D5" s="1" t="s">
        <v>28</v>
      </c>
      <c r="E5" s="1" t="s">
        <v>325</v>
      </c>
      <c r="F5" s="1" t="n">
        <v>7</v>
      </c>
      <c r="I5" s="1" t="n">
        <v>7</v>
      </c>
    </row>
    <row r="6" customFormat="false" ht="15" hidden="false" customHeight="false" outlineLevel="0" collapsed="false">
      <c r="A6" s="1" t="n">
        <v>5</v>
      </c>
      <c r="B6" s="3" t="s">
        <v>32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3" t="s">
        <v>35</v>
      </c>
      <c r="C7" s="1" t="s">
        <v>35</v>
      </c>
      <c r="D7" s="1" t="s">
        <v>34</v>
      </c>
      <c r="E7" s="1" t="s">
        <v>326</v>
      </c>
      <c r="F7" s="1" t="n">
        <v>8</v>
      </c>
      <c r="I7" s="1" t="n">
        <v>8</v>
      </c>
    </row>
    <row r="8" customFormat="false" ht="15" hidden="false" customHeight="false" outlineLevel="0" collapsed="false">
      <c r="A8" s="1" t="n">
        <v>7</v>
      </c>
      <c r="B8" s="3" t="s">
        <v>39</v>
      </c>
      <c r="C8" s="1" t="s">
        <v>39</v>
      </c>
      <c r="D8" s="1" t="s">
        <v>38</v>
      </c>
      <c r="E8" s="1" t="s">
        <v>327</v>
      </c>
      <c r="F8" s="1" t="n">
        <v>8</v>
      </c>
      <c r="I8" s="1" t="n">
        <v>8</v>
      </c>
    </row>
    <row r="9" customFormat="false" ht="15" hidden="false" customHeight="false" outlineLevel="0" collapsed="false">
      <c r="A9" s="1" t="n">
        <v>8</v>
      </c>
      <c r="B9" s="3" t="s">
        <v>42</v>
      </c>
      <c r="C9" s="1" t="s">
        <v>42</v>
      </c>
      <c r="D9" s="1" t="s">
        <v>41</v>
      </c>
      <c r="E9" s="1" t="s">
        <v>328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9</v>
      </c>
      <c r="B10" s="3" t="s">
        <v>45</v>
      </c>
      <c r="C10" s="1" t="s">
        <v>45</v>
      </c>
      <c r="D10" s="1" t="s">
        <v>44</v>
      </c>
      <c r="E10" s="1" t="s">
        <v>329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10</v>
      </c>
      <c r="B11" s="3" t="s">
        <v>48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26</v>
      </c>
      <c r="B12" s="3" t="s">
        <v>51</v>
      </c>
      <c r="C12" s="1" t="s">
        <v>51</v>
      </c>
      <c r="D12" s="1" t="s">
        <v>50</v>
      </c>
      <c r="E12" s="1" t="s">
        <v>330</v>
      </c>
      <c r="F12" s="1" t="n">
        <v>8</v>
      </c>
      <c r="I12" s="1" t="n">
        <v>8</v>
      </c>
    </row>
    <row r="13" customFormat="false" ht="15" hidden="false" customHeight="false" outlineLevel="0" collapsed="false">
      <c r="A13" s="1" t="n">
        <v>11</v>
      </c>
      <c r="B13" s="3" t="s">
        <v>54</v>
      </c>
      <c r="C13" s="1" t="s">
        <v>54</v>
      </c>
      <c r="D13" s="1" t="s">
        <v>53</v>
      </c>
      <c r="E13" s="1" t="s">
        <v>331</v>
      </c>
      <c r="F13" s="1" t="n">
        <v>9</v>
      </c>
      <c r="I13" s="1" t="n">
        <v>9</v>
      </c>
    </row>
    <row r="14" customFormat="false" ht="15" hidden="false" customHeight="false" outlineLevel="0" collapsed="false">
      <c r="A14" s="1" t="n">
        <v>12</v>
      </c>
      <c r="B14" s="3" t="s">
        <v>57</v>
      </c>
      <c r="C14" s="1" t="s">
        <v>57</v>
      </c>
      <c r="D14" s="1" t="s">
        <v>56</v>
      </c>
      <c r="E14" s="1" t="s">
        <v>332</v>
      </c>
      <c r="F14" s="1" t="n">
        <v>9</v>
      </c>
      <c r="I14" s="1" t="n">
        <v>9</v>
      </c>
    </row>
    <row r="15" customFormat="false" ht="15" hidden="false" customHeight="false" outlineLevel="0" collapsed="false">
      <c r="A15" s="1" t="n">
        <v>13</v>
      </c>
      <c r="B15" s="3" t="s">
        <v>60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14</v>
      </c>
      <c r="B16" s="3" t="s">
        <v>64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15</v>
      </c>
      <c r="B17" s="3" t="s">
        <v>68</v>
      </c>
      <c r="C17" s="1" t="s">
        <v>68</v>
      </c>
      <c r="D17" s="1" t="s">
        <v>67</v>
      </c>
      <c r="E17" s="1" t="s">
        <v>333</v>
      </c>
      <c r="F17" s="1" t="n">
        <v>9</v>
      </c>
      <c r="I17" s="1" t="n">
        <v>9</v>
      </c>
    </row>
    <row r="18" customFormat="false" ht="15" hidden="false" customHeight="false" outlineLevel="0" collapsed="false">
      <c r="A18" s="1" t="n">
        <v>16</v>
      </c>
      <c r="B18" s="3" t="s">
        <v>71</v>
      </c>
      <c r="C18" s="1" t="s">
        <v>71</v>
      </c>
      <c r="D18" s="1" t="s">
        <v>70</v>
      </c>
      <c r="E18" s="1" t="s">
        <v>334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17</v>
      </c>
      <c r="B19" s="3" t="s">
        <v>74</v>
      </c>
      <c r="C19" s="1" t="s">
        <v>74</v>
      </c>
      <c r="D19" s="1" t="s">
        <v>73</v>
      </c>
      <c r="E19" s="1" t="s">
        <v>335</v>
      </c>
      <c r="F19" s="1" t="n">
        <v>7</v>
      </c>
      <c r="I19" s="1" t="n">
        <v>7</v>
      </c>
    </row>
    <row r="20" customFormat="false" ht="15" hidden="false" customHeight="false" outlineLevel="0" collapsed="false">
      <c r="A20" s="1" t="n">
        <v>18</v>
      </c>
      <c r="B20" s="3" t="s">
        <v>77</v>
      </c>
      <c r="C20" s="1" t="s">
        <v>77</v>
      </c>
      <c r="D20" s="1" t="s">
        <v>76</v>
      </c>
      <c r="E20" s="1" t="s">
        <v>336</v>
      </c>
      <c r="F20" s="1" t="n">
        <v>9</v>
      </c>
      <c r="I20" s="1" t="n">
        <v>9</v>
      </c>
    </row>
    <row r="21" customFormat="false" ht="15" hidden="false" customHeight="false" outlineLevel="0" collapsed="false">
      <c r="A21" s="1" t="n">
        <v>19</v>
      </c>
      <c r="B21" s="3" t="s">
        <v>80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20</v>
      </c>
      <c r="B22" s="3" t="s">
        <v>84</v>
      </c>
      <c r="C22" s="1" t="s">
        <v>84</v>
      </c>
      <c r="D22" s="1" t="s">
        <v>83</v>
      </c>
      <c r="E22" s="1" t="s">
        <v>337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21</v>
      </c>
      <c r="B23" s="3" t="s">
        <v>87</v>
      </c>
      <c r="C23" s="1" t="s">
        <v>87</v>
      </c>
      <c r="D23" s="1" t="s">
        <v>86</v>
      </c>
      <c r="E23" s="1" t="s">
        <v>338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22</v>
      </c>
      <c r="B24" s="3" t="s">
        <v>90</v>
      </c>
      <c r="C24" s="1" t="s">
        <v>90</v>
      </c>
      <c r="D24" s="1" t="s">
        <v>89</v>
      </c>
      <c r="E24" s="1" t="s">
        <v>339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23</v>
      </c>
      <c r="B25" s="3" t="s">
        <v>93</v>
      </c>
      <c r="C25" s="1" t="s">
        <v>93</v>
      </c>
      <c r="D25" s="1" t="s">
        <v>92</v>
      </c>
      <c r="E25" s="1" t="s">
        <v>340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24</v>
      </c>
      <c r="B26" s="3" t="s">
        <v>96</v>
      </c>
      <c r="C26" s="1" t="s">
        <v>96</v>
      </c>
      <c r="D26" s="1" t="s">
        <v>95</v>
      </c>
      <c r="E26" s="1" t="s">
        <v>341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25</v>
      </c>
      <c r="B27" s="3" t="s">
        <v>99</v>
      </c>
      <c r="F27" s="1" t="n">
        <v>1</v>
      </c>
      <c r="I27" s="1" t="n">
        <v>1</v>
      </c>
    </row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15902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2025-05-05T16:27:59Z</dcterms:created>
  <dc:creator/>
  <dc:description/>
  <dc:language>es-AR</dc:language>
  <cp:lastModifiedBy/>
  <dcterms:modified xsi:type="dcterms:W3CDTF">2025-11-28T10:08:41Z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