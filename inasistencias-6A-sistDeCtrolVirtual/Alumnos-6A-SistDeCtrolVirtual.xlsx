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sistencia" sheetId="1" state="visible" r:id="rId3"/>
    <sheet name="notas" sheetId="2" state="visible" r:id="rId4"/>
    <sheet name="positivos" sheetId="3" state="visible" r:id="rId5"/>
    <sheet name="1-SO gener" sheetId="4" state="visible" r:id="rId6"/>
    <sheet name="2-SO historia" sheetId="5" state="visible" r:id="rId7"/>
    <sheet name="3-comandos mkdir" sheetId="6" state="visible" r:id="rId8"/>
    <sheet name="4-comandos mv" sheetId="7" state="visible" r:id="rId9"/>
    <sheet name="5-GIT historia" sheetId="8" state="visible" r:id="rId10"/>
    <sheet name="6-GIT funcionamiento" sheetId="9" state="visible" r:id="rId11"/>
    <sheet name="7-GIT estados" sheetId="10" state="visible" r:id="rId12"/>
    <sheet name="8-GIT comandos" sheetId="11" state="visible" r:id="rId13"/>
    <sheet name="9-cli-serv" sheetId="12" state="visible" r:id="rId14"/>
    <sheet name="10-html-body" sheetId="13" state="visible" r:id="rId15"/>
    <sheet name="11-img-taable" sheetId="14" state="visible" r:id="rId1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<sst xmlns="http://schemas.openxmlformats.org/spreadsheetml/2006/main" count="2194" uniqueCount="679">
  <si>
    <t xml:space="preserve">total</t>
  </si>
  <si>
    <t xml:space="preserve">nro</t>
  </si>
  <si>
    <t xml:space="preserve">Nombre</t>
  </si>
  <si>
    <t xml:space="preserve">Apellido(s)</t>
  </si>
  <si>
    <t xml:space="preserve">Dirección de correo</t>
  </si>
  <si>
    <t xml:space="preserve">obs</t>
  </si>
  <si>
    <t xml:space="preserve">presentes</t>
  </si>
  <si>
    <t xml:space="preserve">medio</t>
  </si>
  <si>
    <t xml:space="preserve">tarde</t>
  </si>
  <si>
    <t xml:space="preserve">nota asistencia</t>
  </si>
  <si>
    <t xml:space="preserve">TOTAL</t>
  </si>
  <si>
    <t xml:space="preserve">media </t>
  </si>
  <si>
    <t xml:space="preserve">nota</t>
  </si>
  <si>
    <t xml:space="preserve">m</t>
  </si>
  <si>
    <t xml:space="preserve">x</t>
  </si>
  <si>
    <t xml:space="preserve">Lautaro Agustin</t>
  </si>
  <si>
    <t xml:space="preserve">Agasi</t>
  </si>
  <si>
    <t xml:space="preserve">lautyagasi808@gmail.com</t>
  </si>
  <si>
    <t xml:space="preserve">P</t>
  </si>
  <si>
    <t xml:space="preserve">A</t>
  </si>
  <si>
    <t xml:space="preserve">T</t>
  </si>
  <si>
    <t xml:space="preserve">M</t>
  </si>
  <si>
    <t xml:space="preserve">Thaiel Omar</t>
  </si>
  <si>
    <t xml:space="preserve">ANGELES</t>
  </si>
  <si>
    <t xml:space="preserve">thaielomar44@gmail.com</t>
  </si>
  <si>
    <t xml:space="preserve">Franco Tomas</t>
  </si>
  <si>
    <t xml:space="preserve">BARRERA</t>
  </si>
  <si>
    <t xml:space="preserve">48373431@gmail.com</t>
  </si>
  <si>
    <t xml:space="preserve">Julian Gabriel</t>
  </si>
  <si>
    <t xml:space="preserve">BATTAGLIA</t>
  </si>
  <si>
    <t xml:space="preserve">48702442@gmail.com</t>
  </si>
  <si>
    <t xml:space="preserve">Rodrigo Jesus</t>
  </si>
  <si>
    <t xml:space="preserve">Bernal</t>
  </si>
  <si>
    <t xml:space="preserve">rodribernalel10@gmail.com</t>
  </si>
  <si>
    <t xml:space="preserve">Yoel Santiago</t>
  </si>
  <si>
    <t xml:space="preserve">Caballero</t>
  </si>
  <si>
    <t xml:space="preserve">yoecaballero@hotmail.com</t>
  </si>
  <si>
    <t xml:space="preserve">Hector Hernan</t>
  </si>
  <si>
    <t xml:space="preserve">CANCLINI</t>
  </si>
  <si>
    <t xml:space="preserve">canclinihector@gmail.com</t>
  </si>
  <si>
    <t xml:space="preserve">Martin Ezequiel</t>
  </si>
  <si>
    <t xml:space="preserve">Celestino</t>
  </si>
  <si>
    <t xml:space="preserve">martin.ezequiel.celestino@gmail.com</t>
  </si>
  <si>
    <t xml:space="preserve">Benjamin Matias</t>
  </si>
  <si>
    <t xml:space="preserve">CORNEJO</t>
  </si>
  <si>
    <t xml:space="preserve">benjamatias007@gmail.com</t>
  </si>
  <si>
    <t xml:space="preserve">Lucio</t>
  </si>
  <si>
    <t xml:space="preserve">DEL MASTRO</t>
  </si>
  <si>
    <t xml:space="preserve">47514980@gmail.com</t>
  </si>
  <si>
    <t xml:space="preserve">Tobias Nicolas</t>
  </si>
  <si>
    <t xml:space="preserve">DIAZ</t>
  </si>
  <si>
    <t xml:space="preserve">tobiasdiaz2008@gmail.com</t>
  </si>
  <si>
    <t xml:space="preserve">Valentino Eduardo Javier</t>
  </si>
  <si>
    <t xml:space="preserve">FERNANDEZ</t>
  </si>
  <si>
    <t xml:space="preserve">valentinoel12@gmail.com</t>
  </si>
  <si>
    <t xml:space="preserve">Ariadna Uma</t>
  </si>
  <si>
    <t xml:space="preserve">FERRARI RUBINI</t>
  </si>
  <si>
    <t xml:space="preserve">48241663@gmail.com</t>
  </si>
  <si>
    <t xml:space="preserve">correcion</t>
  </si>
  <si>
    <t xml:space="preserve">German Francisco</t>
  </si>
  <si>
    <t xml:space="preserve">GIRALDES MIRAVAL</t>
  </si>
  <si>
    <t xml:space="preserve">47866914@gmail.com</t>
  </si>
  <si>
    <t xml:space="preserve">Julian uziel</t>
  </si>
  <si>
    <t xml:space="preserve">GONZALEZ</t>
  </si>
  <si>
    <t xml:space="preserve">48847759@gmail.com</t>
  </si>
  <si>
    <t xml:space="preserve">VALENTIN</t>
  </si>
  <si>
    <t xml:space="preserve">GUERRA</t>
  </si>
  <si>
    <t xml:space="preserve">valengamer07@outlook.com</t>
  </si>
  <si>
    <t xml:space="preserve">Joaquín</t>
  </si>
  <si>
    <t xml:space="preserve">HERRERA</t>
  </si>
  <si>
    <t xml:space="preserve">joaquinsimonherrera@gmail.com</t>
  </si>
  <si>
    <t xml:space="preserve">Lucas Sebastian</t>
  </si>
  <si>
    <t xml:space="preserve">Muñoz</t>
  </si>
  <si>
    <t xml:space="preserve">47171973@gmail.com</t>
  </si>
  <si>
    <t xml:space="preserve">Thomas Adrián</t>
  </si>
  <si>
    <t xml:space="preserve">Peter</t>
  </si>
  <si>
    <t xml:space="preserve">thominahi@gmail.com</t>
  </si>
  <si>
    <t xml:space="preserve">Carlos Miguel</t>
  </si>
  <si>
    <t xml:space="preserve">Rivero Montesino</t>
  </si>
  <si>
    <t xml:space="preserve">carlomontes06@gmail.com</t>
  </si>
  <si>
    <t xml:space="preserve">Ignacio</t>
  </si>
  <si>
    <t xml:space="preserve">Rojas</t>
  </si>
  <si>
    <t xml:space="preserve">nachoenzorojas@gmail.com</t>
  </si>
  <si>
    <t xml:space="preserve">Enfermedad</t>
  </si>
  <si>
    <t xml:space="preserve">Franco Emanuel</t>
  </si>
  <si>
    <t xml:space="preserve">SALINA</t>
  </si>
  <si>
    <t xml:space="preserve">francopuma2000@gmail.com</t>
  </si>
  <si>
    <t xml:space="preserve">Maia Zoel</t>
  </si>
  <si>
    <t xml:space="preserve">SOSA ARCE</t>
  </si>
  <si>
    <t xml:space="preserve">48110972@gmail.com</t>
  </si>
  <si>
    <t xml:space="preserve">Carlos Leonel</t>
  </si>
  <si>
    <t xml:space="preserve">TRINIDAD SANABRIA</t>
  </si>
  <si>
    <t xml:space="preserve">48183416@gmail.com</t>
  </si>
  <si>
    <t xml:space="preserve">Santiago Osmar</t>
  </si>
  <si>
    <t xml:space="preserve">VEGA</t>
  </si>
  <si>
    <t xml:space="preserve">megustaelpene@gmail.com</t>
  </si>
  <si>
    <t xml:space="preserve">Luciano Emanuel</t>
  </si>
  <si>
    <t xml:space="preserve">Velásquez</t>
  </si>
  <si>
    <t xml:space="preserve">lucianovel31@gmail.com</t>
  </si>
  <si>
    <t xml:space="preserve">presente</t>
  </si>
  <si>
    <t xml:space="preserve">media falta</t>
  </si>
  <si>
    <t xml:space="preserve">tardde</t>
  </si>
  <si>
    <t xml:space="preserve">1er</t>
  </si>
  <si>
    <t xml:space="preserve">fecha limite</t>
  </si>
  <si>
    <t xml:space="preserve">2do</t>
  </si>
  <si>
    <t xml:space="preserve">1-SO gen</t>
  </si>
  <si>
    <t xml:space="preserve">Recup</t>
  </si>
  <si>
    <t xml:space="preserve">2-SO hist</t>
  </si>
  <si>
    <t xml:space="preserve">3-comandos mkdir</t>
  </si>
  <si>
    <t xml:space="preserve">4-comandos mv</t>
  </si>
  <si>
    <t xml:space="preserve">5-git historia</t>
  </si>
  <si>
    <t xml:space="preserve">6- git funcionam</t>
  </si>
  <si>
    <t xml:space="preserve">7- git estados</t>
  </si>
  <si>
    <t xml:space="preserve">8-git comandos</t>
  </si>
  <si>
    <t xml:space="preserve">positivos</t>
  </si>
  <si>
    <t xml:space="preserve">8+posit</t>
  </si>
  <si>
    <t xml:space="preserve">promedio</t>
  </si>
  <si>
    <t xml:space="preserve">valoracion</t>
  </si>
  <si>
    <t xml:space="preserve">9-cli-serv</t>
  </si>
  <si>
    <t xml:space="preserve">10-html bodt</t>
  </si>
  <si>
    <t xml:space="preserve">11-table</t>
  </si>
  <si>
    <t xml:space="preserve">Asistencia</t>
  </si>
  <si>
    <t xml:space="preserve">Asis+pos</t>
  </si>
  <si>
    <t xml:space="preserve">OBS</t>
  </si>
  <si>
    <t xml:space="preserve">Repositorio</t>
  </si>
  <si>
    <t xml:space="preserve">Tp1- index</t>
  </si>
  <si>
    <t xml:space="preserve">tp2- presentacion-amigos y comidas</t>
  </si>
  <si>
    <t xml:space="preserve">tp-3-login</t>
  </si>
  <si>
    <t xml:space="preserve">tp4-buscar y agregar</t>
  </si>
  <si>
    <t xml:space="preserve">tp-5-listar</t>
  </si>
  <si>
    <t xml:space="preserve">tp-6js</t>
  </si>
  <si>
    <t xml:space="preserve">tp-7Flexbox</t>
  </si>
  <si>
    <t xml:space="preserve">Asis+posi</t>
  </si>
  <si>
    <t xml:space="preserve">Evaluacion</t>
  </si>
  <si>
    <t xml:space="preserve">Final</t>
  </si>
  <si>
    <t xml:space="preserve">nota Dic</t>
  </si>
  <si>
    <t xml:space="preserve">se subio 22/4</t>
  </si>
  <si>
    <t xml:space="preserve">se subio 16/9, </t>
  </si>
  <si>
    <t xml:space="preserve">se subio 16/9</t>
  </si>
  <si>
    <t xml:space="preserve">se subio 4/11</t>
  </si>
  <si>
    <t xml:space="preserve">se subio 30/9</t>
  </si>
  <si>
    <t xml:space="preserve">se subio el 30/9</t>
  </si>
  <si>
    <t xml:space="preserve">se subio el 08/4</t>
  </si>
  <si>
    <t xml:space="preserve">se subio el 15/04</t>
  </si>
  <si>
    <t xml:space="preserve">se subio 03/11, se llam crear</t>
  </si>
  <si>
    <t xml:space="preserve">se subio 3/11</t>
  </si>
  <si>
    <t xml:space="preserve">se subio Flex1 se subio 2/9</t>
  </si>
  <si>
    <t xml:space="preserve">se subio 10/7</t>
  </si>
  <si>
    <t xml:space="preserve">se suiio 10/7</t>
  </si>
  <si>
    <t xml:space="preserve">se subio 10/7, no hace</t>
  </si>
  <si>
    <t xml:space="preserve">se subio 17/10, hay que hacerlo en un mismo repo</t>
  </si>
  <si>
    <t xml:space="preserve">Se subio 11/11/2025</t>
  </si>
  <si>
    <t xml:space="preserve">Recup dic</t>
  </si>
  <si>
    <t xml:space="preserve">se subio el 16/9, tiene mal el nomb</t>
  </si>
  <si>
    <t xml:space="preserve">se subio 19/6</t>
  </si>
  <si>
    <t xml:space="preserve">no hace lo que debe</t>
  </si>
  <si>
    <t xml:space="preserve">se subio 27/10</t>
  </si>
  <si>
    <t xml:space="preserve">se sbio 27 /10</t>
  </si>
  <si>
    <t xml:space="preserve">no es un formularoi</t>
  </si>
  <si>
    <t xml:space="preserve">no es lo que se pude</t>
  </si>
  <si>
    <t xml:space="preserve">no funciona</t>
  </si>
  <si>
    <t xml:space="preserve">se subio 10/6</t>
  </si>
  <si>
    <t xml:space="preserve">no vuelve, comida preferida no esta, se subio 10/6</t>
  </si>
  <si>
    <t xml:space="preserve">corregir</t>
  </si>
  <si>
    <t xml:space="preserve">se subio 11/11</t>
  </si>
  <si>
    <t xml:space="preserve">no vuelve peri igual vale el 10</t>
  </si>
  <si>
    <t xml:space="preserve">se subio el 16/9</t>
  </si>
  <si>
    <t xml:space="preserve">no esta</t>
  </si>
  <si>
    <t xml:space="preserve">Se subio 09/09/2025</t>
  </si>
  <si>
    <t xml:space="preserve">se subio 9/9 y 23/9</t>
  </si>
  <si>
    <t xml:space="preserve">se subio el 23/9</t>
  </si>
  <si>
    <t xml:space="preserve">se subio 23/9</t>
  </si>
  <si>
    <t xml:space="preserve">se suibio 22/4</t>
  </si>
  <si>
    <t xml:space="preserve">se sbuio 10/6, no es lo que se pide</t>
  </si>
  <si>
    <t xml:space="preserve">se subio 2/11</t>
  </si>
  <si>
    <t xml:space="preserve">corregir las referencias, faltan las imagenes, faltan fotos, se subio 25/3</t>
  </si>
  <si>
    <t xml:space="preserve">se subio 29/4</t>
  </si>
  <si>
    <t xml:space="preserve">se subio 13/5</t>
  </si>
  <si>
    <t xml:space="preserve">se subio el 28/10</t>
  </si>
  <si>
    <t xml:space="preserve">se subio el 27/10</t>
  </si>
  <si>
    <t xml:space="preserve">se subio 2/9</t>
  </si>
  <si>
    <t xml:space="preserve"> se subio 10/6, le creo que lo subio</t>
  </si>
  <si>
    <t xml:space="preserve">no vuelve</t>
  </si>
  <si>
    <t xml:space="preserve">no es un formulario</t>
  </si>
  <si>
    <t xml:space="preserve">no corresponde</t>
  </si>
  <si>
    <t xml:space="preserve">falta java Scrip</t>
  </si>
  <si>
    <t xml:space="preserve">se subio 4/9</t>
  </si>
  <si>
    <t xml:space="preserve">Aprobo Agosto</t>
  </si>
  <si>
    <t xml:space="preserve">09/09/2025 un poquito atrasado</t>
  </si>
  <si>
    <t xml:space="preserve">09/09/2025 un poquito atrasado, falta foto</t>
  </si>
  <si>
    <t xml:space="preserve">09/09/2025 atrasado</t>
  </si>
  <si>
    <t xml:space="preserve">16/09/2025 atrasado no hace lo soliticado</t>
  </si>
  <si>
    <t xml:space="preserve">Recup intensif</t>
  </si>
  <si>
    <t xml:space="preserve"> </t>
  </si>
  <si>
    <t xml:space="preserve">f</t>
  </si>
  <si>
    <t xml:space="preserve">16/9 no vuelve</t>
  </si>
  <si>
    <t xml:space="preserve">no funciona </t>
  </si>
  <si>
    <t xml:space="preserve">16/09/2025, no vuelve</t>
  </si>
  <si>
    <t xml:space="preserve">16/9, no vuelve</t>
  </si>
  <si>
    <t xml:space="preserve">16/9, no funciona</t>
  </si>
  <si>
    <t xml:space="preserve">se subio 26/9, fallan algunos links</t>
  </si>
  <si>
    <t xml:space="preserve">no funcionan y faltan</t>
  </si>
  <si>
    <t xml:space="preserve">se subio el 10/6</t>
  </si>
  <si>
    <t xml:space="preserve">se subio 10/6, mejores amigos?</t>
  </si>
  <si>
    <t xml:space="preserve">se subio 2/9, no funcionan</t>
  </si>
  <si>
    <t xml:space="preserve">se subio del 10/6</t>
  </si>
  <si>
    <t xml:space="preserve">no velven , se suibio 10/6</t>
  </si>
  <si>
    <t xml:space="preserve">se subio 9/7</t>
  </si>
  <si>
    <t xml:space="preserve">se subio 9/7, no hace lo solicitado</t>
  </si>
  <si>
    <t xml:space="preserve">se subio 18/4, dudoso no lo hizo el</t>
  </si>
  <si>
    <t xml:space="preserve">se suio 3/6</t>
  </si>
  <si>
    <t xml:space="preserve">no es lo que e pide</t>
  </si>
  <si>
    <t xml:space="preserve">se subio 10/6, esta incompleto</t>
  </si>
  <si>
    <t xml:space="preserve">se subio 29/8, esta incompleto</t>
  </si>
  <si>
    <t xml:space="preserve">se subio 16/9, no es un formulario</t>
  </si>
  <si>
    <t xml:space="preserve">se subio 20/5, hermoso</t>
  </si>
  <si>
    <t xml:space="preserve">se subio 28/10</t>
  </si>
  <si>
    <t xml:space="preserve">se subio 24/6</t>
  </si>
  <si>
    <t xml:space="preserve">se subio 20/4</t>
  </si>
  <si>
    <t xml:space="preserve">se subio 20/5</t>
  </si>
  <si>
    <t xml:space="preserve">se subio el 27/8</t>
  </si>
  <si>
    <t xml:space="preserve">se subio 2/5</t>
  </si>
  <si>
    <t xml:space="preserve">se subio 18/5</t>
  </si>
  <si>
    <t xml:space="preserve">se subio 19/5</t>
  </si>
  <si>
    <t xml:space="preserve">se sebio 10/6</t>
  </si>
  <si>
    <t xml:space="preserve">se subio 15/4</t>
  </si>
  <si>
    <t xml:space="preserve">se subio 27/8</t>
  </si>
  <si>
    <t xml:space="preserve">se subio 25/5</t>
  </si>
  <si>
    <t xml:space="preserve">se subio 10/10, hay uno solo</t>
  </si>
  <si>
    <t xml:space="preserve">se subio 27/5</t>
  </si>
  <si>
    <t xml:space="preserve">se subio e 27/5</t>
  </si>
  <si>
    <t xml:space="preserve">no se puede ver</t>
  </si>
  <si>
    <t xml:space="preserve">Finalizado</t>
  </si>
  <si>
    <t xml:space="preserve">Tiempo requerido</t>
  </si>
  <si>
    <t xml:space="preserve">Calificación/10,00</t>
  </si>
  <si>
    <t xml:space="preserve">segundo</t>
  </si>
  <si>
    <t xml:space="preserve">final</t>
  </si>
  <si>
    <t xml:space="preserve">8 de abril de 2025  14:28</t>
  </si>
  <si>
    <t xml:space="preserve">10 minutos 4 segundos</t>
  </si>
  <si>
    <t xml:space="preserve">8 de abril de 2025  14:17</t>
  </si>
  <si>
    <t xml:space="preserve">15 minutos 41 segundos</t>
  </si>
  <si>
    <t xml:space="preserve">-</t>
  </si>
  <si>
    <t xml:space="preserve">8 de abril de 2025  14:39</t>
  </si>
  <si>
    <t xml:space="preserve">15 minutos 52 segundos</t>
  </si>
  <si>
    <t xml:space="preserve">8 de abril de 2025  23:05</t>
  </si>
  <si>
    <t xml:space="preserve">8 horas 32 minutos</t>
  </si>
  <si>
    <t xml:space="preserve">8 de abril de 2025  14:18</t>
  </si>
  <si>
    <t xml:space="preserve">5 minutos 4 segundos</t>
  </si>
  <si>
    <t xml:space="preserve">8 de abril de 2025  14:32</t>
  </si>
  <si>
    <t xml:space="preserve">6 minutos 34 segundos</t>
  </si>
  <si>
    <t xml:space="preserve">8 de abril de 2025  14:13</t>
  </si>
  <si>
    <t xml:space="preserve">13 minutos 25 segundos</t>
  </si>
  <si>
    <t xml:space="preserve">8 de abril de 2025  14:25</t>
  </si>
  <si>
    <t xml:space="preserve">4 minutos 50 segundos</t>
  </si>
  <si>
    <t xml:space="preserve">8 de abril de 2025  14:02</t>
  </si>
  <si>
    <t xml:space="preserve">5 minutos 29 segundos</t>
  </si>
  <si>
    <t xml:space="preserve">8 de abril de 2025  14:35</t>
  </si>
  <si>
    <t xml:space="preserve">3 minutos 40 segundos</t>
  </si>
  <si>
    <t xml:space="preserve">12 minutos 57 segundos</t>
  </si>
  <si>
    <t xml:space="preserve">11 minutos 32 segundos</t>
  </si>
  <si>
    <t xml:space="preserve">8 de abril de 2025  14:34</t>
  </si>
  <si>
    <t xml:space="preserve">10 minutos 12 segundos</t>
  </si>
  <si>
    <t xml:space="preserve">15 de abril de 2025  23:19</t>
  </si>
  <si>
    <t xml:space="preserve">7 días 8 horas</t>
  </si>
  <si>
    <t xml:space="preserve">8 de abril de 2025  14:19</t>
  </si>
  <si>
    <t xml:space="preserve">19 minutos 17 segundos</t>
  </si>
  <si>
    <t xml:space="preserve">8 de abril de 2025  14:33</t>
  </si>
  <si>
    <t xml:space="preserve">6 minutos 16 segundos</t>
  </si>
  <si>
    <t xml:space="preserve">8 de abril de 2025  14:12</t>
  </si>
  <si>
    <t xml:space="preserve">6 minutos 53 segundos</t>
  </si>
  <si>
    <t xml:space="preserve">8 de abril de 2025  14:04</t>
  </si>
  <si>
    <t xml:space="preserve">3 minutos 33 segundos</t>
  </si>
  <si>
    <t xml:space="preserve">8 de abril de 2025  14:22</t>
  </si>
  <si>
    <t xml:space="preserve">9 minutos 42 segundos</t>
  </si>
  <si>
    <t xml:space="preserve">8 de abril de 2025  14:11</t>
  </si>
  <si>
    <t xml:space="preserve">5 minutos 22 segundos</t>
  </si>
  <si>
    <t xml:space="preserve">8 de abril de 2025  16:27</t>
  </si>
  <si>
    <t xml:space="preserve">2 horas 10 minutos</t>
  </si>
  <si>
    <t xml:space="preserve">8 de abril de 2025  15:04</t>
  </si>
  <si>
    <t xml:space="preserve">7 minutos 26 segundos</t>
  </si>
  <si>
    <t xml:space="preserve">8 de abril de 2025  14:36</t>
  </si>
  <si>
    <t xml:space="preserve">17 minutos 32 segundos</t>
  </si>
  <si>
    <t xml:space="preserve">8 de abril de 2025  14:49</t>
  </si>
  <si>
    <t xml:space="preserve">5 minutos 3 segundos</t>
  </si>
  <si>
    <t xml:space="preserve">8 de abril de 2025  14:55</t>
  </si>
  <si>
    <t xml:space="preserve">5 minutos</t>
  </si>
  <si>
    <t xml:space="preserve">8 de abril de 2025  14:43</t>
  </si>
  <si>
    <t xml:space="preserve">6 minutos 10 segundos</t>
  </si>
  <si>
    <t xml:space="preserve">8 de abril de 2025  14:16</t>
  </si>
  <si>
    <t xml:space="preserve">19 minutos 27 segundos</t>
  </si>
  <si>
    <t xml:space="preserve">7 minutos 38 segundos</t>
  </si>
  <si>
    <t xml:space="preserve">6 minutos 14 segundos</t>
  </si>
  <si>
    <t xml:space="preserve">8 de abril de 2025  14:31</t>
  </si>
  <si>
    <t xml:space="preserve">4 minutos 7 segundos</t>
  </si>
  <si>
    <t xml:space="preserve">8 de abril de 2025  14:27</t>
  </si>
  <si>
    <t xml:space="preserve">9 minutos 9 segundos</t>
  </si>
  <si>
    <t xml:space="preserve">8 de abril de 2025  14:08</t>
  </si>
  <si>
    <t xml:space="preserve">8 de abril de 2025  14:23</t>
  </si>
  <si>
    <t xml:space="preserve">10 minutos 32 segundos</t>
  </si>
  <si>
    <t xml:space="preserve">8 de abril de 2025  18:44</t>
  </si>
  <si>
    <t xml:space="preserve">5 minutos 6 segundos</t>
  </si>
  <si>
    <t xml:space="preserve">8 de abril de 2025  18:49</t>
  </si>
  <si>
    <t xml:space="preserve">3 minutos 15 segundos</t>
  </si>
  <si>
    <t xml:space="preserve">8 minutos 7 segundos</t>
  </si>
  <si>
    <t xml:space="preserve">8 de abril de 2025  14:38</t>
  </si>
  <si>
    <t xml:space="preserve">10 minutos 21 segundos</t>
  </si>
  <si>
    <t xml:space="preserve">9 de abril de 2025  23:18</t>
  </si>
  <si>
    <t xml:space="preserve">3 minutos 43 segundos</t>
  </si>
  <si>
    <t xml:space="preserve">9 de abril de 2025  23:14</t>
  </si>
  <si>
    <t xml:space="preserve">2 minutos 58 segundos</t>
  </si>
  <si>
    <t xml:space="preserve">9 de abril de 2025  23:09</t>
  </si>
  <si>
    <t xml:space="preserve">5 minutos 46 segundos</t>
  </si>
  <si>
    <t xml:space="preserve">9 de abril de 2025  23:01</t>
  </si>
  <si>
    <t xml:space="preserve">19 minutos 19 segundos</t>
  </si>
  <si>
    <t xml:space="preserve">15 de abril de 2025  15:00</t>
  </si>
  <si>
    <t xml:space="preserve">6 minutos 21 segundos</t>
  </si>
  <si>
    <t xml:space="preserve">15 de abril de 2025  14:53</t>
  </si>
  <si>
    <t xml:space="preserve">16 minutos 41 segundos</t>
  </si>
  <si>
    <t xml:space="preserve">15 de abril de 2025  14:36</t>
  </si>
  <si>
    <t xml:space="preserve">10 minutos 5 segundos</t>
  </si>
  <si>
    <t xml:space="preserve">15 de abril de 2025  22:47</t>
  </si>
  <si>
    <t xml:space="preserve">15 de abril de 2025  22:43</t>
  </si>
  <si>
    <t xml:space="preserve">3 minutos 11 segundos</t>
  </si>
  <si>
    <t xml:space="preserve">15 de abril de 2025  22:39</t>
  </si>
  <si>
    <t xml:space="preserve">5 minutos 59 segundos</t>
  </si>
  <si>
    <t xml:space="preserve">15 de abril de 2025  14:15</t>
  </si>
  <si>
    <t xml:space="preserve">5 minutos 39 segundos</t>
  </si>
  <si>
    <t xml:space="preserve">15 de abril de 2025  16:01</t>
  </si>
  <si>
    <t xml:space="preserve">9 minutos 15 segundos</t>
  </si>
  <si>
    <t xml:space="preserve">15 de abril de 2025  23:18</t>
  </si>
  <si>
    <t xml:space="preserve">5 minutos 7 segundos</t>
  </si>
  <si>
    <t xml:space="preserve">15 de abril de 2025  16:16</t>
  </si>
  <si>
    <t xml:space="preserve">4 minutos 20 segundos</t>
  </si>
  <si>
    <t xml:space="preserve">15 de abril de 2025  16:36</t>
  </si>
  <si>
    <t xml:space="preserve">32 minutos 34 segundos</t>
  </si>
  <si>
    <t xml:space="preserve">15 de abril de 2025  16:50</t>
  </si>
  <si>
    <t xml:space="preserve">16 minutos 26 segundos</t>
  </si>
  <si>
    <t xml:space="preserve">15 de abril de 2025  14:39</t>
  </si>
  <si>
    <t xml:space="preserve">7 minutos 9 segundos</t>
  </si>
  <si>
    <t xml:space="preserve">15 de abril de 2025  14:32</t>
  </si>
  <si>
    <t xml:space="preserve">15 minutos 27 segundos</t>
  </si>
  <si>
    <t xml:space="preserve">15 de abril de 2025  20:33</t>
  </si>
  <si>
    <t xml:space="preserve">12 minutos 21 segundos</t>
  </si>
  <si>
    <t xml:space="preserve">15 de abril de 2025  20:02</t>
  </si>
  <si>
    <t xml:space="preserve">3 horas 16 minutos</t>
  </si>
  <si>
    <t xml:space="preserve">5 minutos 42 segundos</t>
  </si>
  <si>
    <t xml:space="preserve">15 de abril de 2025  20:53</t>
  </si>
  <si>
    <t xml:space="preserve">10 minutos 11 segundos</t>
  </si>
  <si>
    <t xml:space="preserve">15 de abril de 2025  16:25</t>
  </si>
  <si>
    <t xml:space="preserve">9 minutos 1 segundos</t>
  </si>
  <si>
    <t xml:space="preserve">15 de abril de 2025  16:29</t>
  </si>
  <si>
    <t xml:space="preserve">15 de abril de 2025  16:31</t>
  </si>
  <si>
    <t xml:space="preserve">2 minutos 34 segundos</t>
  </si>
  <si>
    <t xml:space="preserve">15 de abril de 2025  16:09</t>
  </si>
  <si>
    <t xml:space="preserve">19 minutos 43 segundos</t>
  </si>
  <si>
    <t xml:space="preserve">15 de abril de 2025  16:28</t>
  </si>
  <si>
    <t xml:space="preserve">2 minutos 43 segundos</t>
  </si>
  <si>
    <t xml:space="preserve">15 de abril de 2025  21:03</t>
  </si>
  <si>
    <t xml:space="preserve">2 horas 11 minutos</t>
  </si>
  <si>
    <t xml:space="preserve">15 de abril de 2025  22:33</t>
  </si>
  <si>
    <t xml:space="preserve">3 minutos 20 segundos</t>
  </si>
  <si>
    <t xml:space="preserve">15 de abril de 2025  15:06</t>
  </si>
  <si>
    <t xml:space="preserve">5 minutos 10 segundos</t>
  </si>
  <si>
    <t xml:space="preserve">15 de abril de 2025  22:58</t>
  </si>
  <si>
    <t xml:space="preserve">11 minutos</t>
  </si>
  <si>
    <t xml:space="preserve">15 de abril de 2025  21:21</t>
  </si>
  <si>
    <t xml:space="preserve">7 horas 3 minutos</t>
  </si>
  <si>
    <t xml:space="preserve">15 de abril de 2025  17:40</t>
  </si>
  <si>
    <t xml:space="preserve">1 hora 38 minutos</t>
  </si>
  <si>
    <t xml:space="preserve">15 de abril de 2025  23:12</t>
  </si>
  <si>
    <t xml:space="preserve">15 de abril de 2025  23:06</t>
  </si>
  <si>
    <t xml:space="preserve">10 minutos 2 segundos</t>
  </si>
  <si>
    <t xml:space="preserve">15 de abril de 2025  15:47</t>
  </si>
  <si>
    <t xml:space="preserve">10 minutos 41 segundos</t>
  </si>
  <si>
    <t xml:space="preserve">15 de abril de 2025  16:02</t>
  </si>
  <si>
    <t xml:space="preserve">3 minutos 24 segundos</t>
  </si>
  <si>
    <t xml:space="preserve">15 de abril de 2025  16:56</t>
  </si>
  <si>
    <t xml:space="preserve">5 minutos 26 segundos</t>
  </si>
  <si>
    <t xml:space="preserve">2 minutos 2 segundos</t>
  </si>
  <si>
    <t xml:space="preserve">15 de abril de 2025  23:21</t>
  </si>
  <si>
    <t xml:space="preserve">3 minutos 2 segundos</t>
  </si>
  <si>
    <t xml:space="preserve">15 de abril de 2025  23:14</t>
  </si>
  <si>
    <t xml:space="preserve">16 minutos 42 segundos</t>
  </si>
  <si>
    <t xml:space="preserve">15 de abril de 2025  20:20</t>
  </si>
  <si>
    <t xml:space="preserve">15 minutos 9 segundos</t>
  </si>
  <si>
    <t xml:space="preserve">15 de abril de 2025  14:46</t>
  </si>
  <si>
    <t xml:space="preserve">9 minutos 18 segundos</t>
  </si>
  <si>
    <t xml:space="preserve">15 de abril de 2025  16:40</t>
  </si>
  <si>
    <t xml:space="preserve">7 minutos 45 segundos</t>
  </si>
  <si>
    <t xml:space="preserve">15 de abril de 2025  15:43</t>
  </si>
  <si>
    <t xml:space="preserve">5 minutos 47 segundos</t>
  </si>
  <si>
    <t xml:space="preserve">15 de abril de 2025  15:46</t>
  </si>
  <si>
    <t xml:space="preserve">1 minutos 52 segundos</t>
  </si>
  <si>
    <t xml:space="preserve">15 de abril de 2025  18:51</t>
  </si>
  <si>
    <t xml:space="preserve">3 minutos 1 segundos</t>
  </si>
  <si>
    <t xml:space="preserve">15 de abril de 2025  23:13</t>
  </si>
  <si>
    <t xml:space="preserve">10 minutos</t>
  </si>
  <si>
    <t xml:space="preserve">15 de abril de 2025  18:59</t>
  </si>
  <si>
    <t xml:space="preserve">3 minutos 29 segundos</t>
  </si>
  <si>
    <t xml:space="preserve">15 de abril de 2025  18:55</t>
  </si>
  <si>
    <t xml:space="preserve">59 minutos 48 segundos</t>
  </si>
  <si>
    <t xml:space="preserve">5 minutos 38 segundos</t>
  </si>
  <si>
    <t xml:space="preserve">15 de abril de 2025  16:15</t>
  </si>
  <si>
    <t xml:space="preserve">12 minutos 20 segundos</t>
  </si>
  <si>
    <t xml:space="preserve">15 de abril de 2025  20:09</t>
  </si>
  <si>
    <t xml:space="preserve">5 minutos 45 segundos</t>
  </si>
  <si>
    <t xml:space="preserve">21 de abril de 2025  23:12</t>
  </si>
  <si>
    <t xml:space="preserve">6 minutos 26 segundos</t>
  </si>
  <si>
    <t xml:space="preserve">16 de abril de 2025  17:36</t>
  </si>
  <si>
    <t xml:space="preserve">6 minutos 7 segundos</t>
  </si>
  <si>
    <t xml:space="preserve">18 de abril de 2025  17:43</t>
  </si>
  <si>
    <t xml:space="preserve">11 minutos 8 segundos</t>
  </si>
  <si>
    <t xml:space="preserve">18 de abril de 2025  17:30</t>
  </si>
  <si>
    <t xml:space="preserve">35 minutos 9 segundos</t>
  </si>
  <si>
    <t xml:space="preserve">15 de abril de 2025  18:47</t>
  </si>
  <si>
    <t xml:space="preserve">1 hora 35 minutos</t>
  </si>
  <si>
    <t xml:space="preserve">15 de abril de 2025  20:49</t>
  </si>
  <si>
    <t xml:space="preserve">3 horas 40 minutos</t>
  </si>
  <si>
    <t xml:space="preserve">16 minutos 46 segundos</t>
  </si>
  <si>
    <t xml:space="preserve">31 minutos 12 segundos</t>
  </si>
  <si>
    <t xml:space="preserve">24 de abril de 2025  17:46</t>
  </si>
  <si>
    <t xml:space="preserve">4 minutos 37 segundos</t>
  </si>
  <si>
    <t xml:space="preserve">22 de abril de 2025  22:23</t>
  </si>
  <si>
    <t xml:space="preserve">9 minutos 3 segundos</t>
  </si>
  <si>
    <t xml:space="preserve">22 de abril de 2025  14:18</t>
  </si>
  <si>
    <t xml:space="preserve">9 minutos 38 segundos</t>
  </si>
  <si>
    <t xml:space="preserve">22 de abril de 2025  14:22</t>
  </si>
  <si>
    <t xml:space="preserve">9 minutos 26 segundos</t>
  </si>
  <si>
    <t xml:space="preserve">24 de abril de 2025  17:31</t>
  </si>
  <si>
    <t xml:space="preserve">6 minutos 5 segundos</t>
  </si>
  <si>
    <t xml:space="preserve">27 de abril de 2025  19:30</t>
  </si>
  <si>
    <t xml:space="preserve">10 minutos 1 segundos</t>
  </si>
  <si>
    <t xml:space="preserve">27 de abril de 2025  18:47</t>
  </si>
  <si>
    <t xml:space="preserve">7 minutos 59 segundos</t>
  </si>
  <si>
    <t xml:space="preserve">24 de abril de 2025  17:36</t>
  </si>
  <si>
    <t xml:space="preserve">23 de abril de 2025  23:09</t>
  </si>
  <si>
    <t xml:space="preserve">2 minutos 36 segundos</t>
  </si>
  <si>
    <t xml:space="preserve">22 de abril de 2025  23:49</t>
  </si>
  <si>
    <t xml:space="preserve">22 de abril de 2025  23:34</t>
  </si>
  <si>
    <t xml:space="preserve">7 minutos 3 segundos</t>
  </si>
  <si>
    <t xml:space="preserve">22 de abril de 2025  23:43</t>
  </si>
  <si>
    <t xml:space="preserve">7 minutos 33 segundos</t>
  </si>
  <si>
    <t xml:space="preserve">22 de abril de 2025  23:12</t>
  </si>
  <si>
    <t xml:space="preserve">22 de abril de 2025  23:26</t>
  </si>
  <si>
    <t xml:space="preserve">24 de abril de 2025  08:32</t>
  </si>
  <si>
    <t xml:space="preserve">8 minutos 9 segundos</t>
  </si>
  <si>
    <t xml:space="preserve">27 de abril de 2025  18:52</t>
  </si>
  <si>
    <t xml:space="preserve">3 minutos 16 segundos</t>
  </si>
  <si>
    <t xml:space="preserve">24 de abril de 2025  08:15</t>
  </si>
  <si>
    <t xml:space="preserve">24 de abril de 2025  01:37</t>
  </si>
  <si>
    <t xml:space="preserve">2 minutos 9 segundos</t>
  </si>
  <si>
    <t xml:space="preserve">24 de abril de 2025  17:32</t>
  </si>
  <si>
    <t xml:space="preserve">6 minutos 55 segundos</t>
  </si>
  <si>
    <t xml:space="preserve">24 de abril de 2025  17:18</t>
  </si>
  <si>
    <t xml:space="preserve">27 de abril de 2025  22:14</t>
  </si>
  <si>
    <t xml:space="preserve">27 de abril de 2025  22:20</t>
  </si>
  <si>
    <t xml:space="preserve">3 minutos 41 segundos</t>
  </si>
  <si>
    <t xml:space="preserve">22 de abril de 2025  14:33</t>
  </si>
  <si>
    <t xml:space="preserve">9 minutos 36 segundos</t>
  </si>
  <si>
    <t xml:space="preserve">27 de abril de 2025  22:01</t>
  </si>
  <si>
    <t xml:space="preserve">6 minutos 22 segundos</t>
  </si>
  <si>
    <t xml:space="preserve">27 de abril de 2025  22:08</t>
  </si>
  <si>
    <t xml:space="preserve">27 de abril de 2025  21:53</t>
  </si>
  <si>
    <t xml:space="preserve">4 minutos 57 segundos</t>
  </si>
  <si>
    <t xml:space="preserve">25 de abril de 2025  16:36</t>
  </si>
  <si>
    <t xml:space="preserve">7 minutos 49 segundos</t>
  </si>
  <si>
    <t xml:space="preserve">23 de abril de 2025  17:38</t>
  </si>
  <si>
    <t xml:space="preserve">4 minutos 1 segundos</t>
  </si>
  <si>
    <t xml:space="preserve">27 de abril de 2025  20:57</t>
  </si>
  <si>
    <t xml:space="preserve">3 minutos 21 segundos</t>
  </si>
  <si>
    <t xml:space="preserve">º</t>
  </si>
  <si>
    <t xml:space="preserve">27 de abril de 2025  21:01</t>
  </si>
  <si>
    <t xml:space="preserve">2 minutos 52 segundos</t>
  </si>
  <si>
    <t xml:space="preserve">27 de abril de 2025  20:22</t>
  </si>
  <si>
    <t xml:space="preserve">7 minutos 17 segundos</t>
  </si>
  <si>
    <t xml:space="preserve">6 minutos 18 segundos</t>
  </si>
  <si>
    <t xml:space="preserve">22 de abril de 2025  22:41</t>
  </si>
  <si>
    <t xml:space="preserve">5 minutos 34 segundos</t>
  </si>
  <si>
    <t xml:space="preserve">22 de abril de 2025  22:35</t>
  </si>
  <si>
    <t xml:space="preserve">9 minutos 43 segundos</t>
  </si>
  <si>
    <t xml:space="preserve">22 de abril de 2025  14:27</t>
  </si>
  <si>
    <t xml:space="preserve">6 minutos 36 segundos</t>
  </si>
  <si>
    <t xml:space="preserve">27 de abril de 2025  20:05</t>
  </si>
  <si>
    <t xml:space="preserve">27 de abril de 2025  20:01</t>
  </si>
  <si>
    <t xml:space="preserve">27 de abril de 2025  19:48</t>
  </si>
  <si>
    <t xml:space="preserve">27 de abril de 2025  19:53</t>
  </si>
  <si>
    <t xml:space="preserve">3 minutos 58 segundos</t>
  </si>
  <si>
    <t xml:space="preserve">27 de abril de 2025  19:42</t>
  </si>
  <si>
    <t xml:space="preserve">3 minutos 39 segundos</t>
  </si>
  <si>
    <t xml:space="preserve">24 de abril de 2025  18:14</t>
  </si>
  <si>
    <t xml:space="preserve">27 de abril de 2025  18:59</t>
  </si>
  <si>
    <t xml:space="preserve">8 minutos 14 segundos</t>
  </si>
  <si>
    <t xml:space="preserve">24 de abril de 2025  18:03</t>
  </si>
  <si>
    <t xml:space="preserve">9 minutos 29 segundos</t>
  </si>
  <si>
    <t xml:space="preserve">27 de abril de 2025  20:13</t>
  </si>
  <si>
    <t xml:space="preserve">2 minutos</t>
  </si>
  <si>
    <t xml:space="preserve">27 de abril de 2025  20:10</t>
  </si>
  <si>
    <t xml:space="preserve">2 minutos 11 segundos</t>
  </si>
  <si>
    <t xml:space="preserve">23 de abril de 2025  23:23</t>
  </si>
  <si>
    <t xml:space="preserve">23 de abril de 2025  00:09</t>
  </si>
  <si>
    <t xml:space="preserve">5 minutos 24 segundos</t>
  </si>
  <si>
    <t xml:space="preserve">22 de abril de 2025  23:57</t>
  </si>
  <si>
    <t xml:space="preserve">6 minutos 28 segundos</t>
  </si>
  <si>
    <t xml:space="preserve">23 de abril de 2025  00:03</t>
  </si>
  <si>
    <t xml:space="preserve">4 minutos 49 segundos</t>
  </si>
  <si>
    <t xml:space="preserve">24 de abril de 2025  08:48</t>
  </si>
  <si>
    <t xml:space="preserve">6 minutos 1 segundos</t>
  </si>
  <si>
    <t xml:space="preserve">6 minutos 27 segundos</t>
  </si>
  <si>
    <t xml:space="preserve">24 de abril de 2025  11:39</t>
  </si>
  <si>
    <t xml:space="preserve">24 de abril de 2025  11:28</t>
  </si>
  <si>
    <t xml:space="preserve">24 de abril de 2025  01:39</t>
  </si>
  <si>
    <t xml:space="preserve">24 de abril de 2025  17:40</t>
  </si>
  <si>
    <t xml:space="preserve">24 de abril de 2025  17:56</t>
  </si>
  <si>
    <t xml:space="preserve">4 minutos 25 segundos</t>
  </si>
  <si>
    <t xml:space="preserve">27 de abril de 2025  20:09</t>
  </si>
  <si>
    <t xml:space="preserve">2 minutos 54 segundos</t>
  </si>
  <si>
    <t xml:space="preserve">25 de abril de 2025  16:44</t>
  </si>
  <si>
    <t xml:space="preserve">7 minutos 10 segundos</t>
  </si>
  <si>
    <t xml:space="preserve">23 de abril de 2025  18:29</t>
  </si>
  <si>
    <t xml:space="preserve">5 minutos 20 segundos</t>
  </si>
  <si>
    <t xml:space="preserve">27 de abril de 2025  21:19</t>
  </si>
  <si>
    <t xml:space="preserve">total notas</t>
  </si>
  <si>
    <t xml:space="preserve">24 de abril de 2025  17:41</t>
  </si>
  <si>
    <t xml:space="preserve">8 minutos 29 segundos</t>
  </si>
  <si>
    <t xml:space="preserve">22 de abril de 2025  22:57</t>
  </si>
  <si>
    <t xml:space="preserve">7 minutos 12 segundos</t>
  </si>
  <si>
    <t xml:space="preserve">22 de abril de 2025  22:49</t>
  </si>
  <si>
    <t xml:space="preserve">7 minutos 14 segundos</t>
  </si>
  <si>
    <t xml:space="preserve">27 de abril de 2025  20:53</t>
  </si>
  <si>
    <t xml:space="preserve">27 de abril de 2025  20:39</t>
  </si>
  <si>
    <t xml:space="preserve">4 minutos 21 segundos</t>
  </si>
  <si>
    <t xml:space="preserve">27 de abril de 2025  20:49</t>
  </si>
  <si>
    <t xml:space="preserve">6 minutos 25 segundos</t>
  </si>
  <si>
    <t xml:space="preserve">27 de abril de 2025  20:33</t>
  </si>
  <si>
    <t xml:space="preserve">6 minutos 8 segundos</t>
  </si>
  <si>
    <t xml:space="preserve">3 minutos 5 segundos</t>
  </si>
  <si>
    <t xml:space="preserve">27 de abril de 2025  20:21</t>
  </si>
  <si>
    <t xml:space="preserve">3 minutos 22 segundos</t>
  </si>
  <si>
    <t xml:space="preserve">24 de abril de 2025  18:34</t>
  </si>
  <si>
    <t xml:space="preserve">27 de abril de 2025  19:10</t>
  </si>
  <si>
    <t xml:space="preserve">9 minutos 30 segundos</t>
  </si>
  <si>
    <t xml:space="preserve">24 de abril de 2025  18:24</t>
  </si>
  <si>
    <t xml:space="preserve">23 de abril de 2025  23:27</t>
  </si>
  <si>
    <t xml:space="preserve">2 minutos 29 segundos</t>
  </si>
  <si>
    <t xml:space="preserve">24 de abril de 2025  17:48</t>
  </si>
  <si>
    <t xml:space="preserve">7 minutos 36 segundos</t>
  </si>
  <si>
    <t xml:space="preserve">24 de abril de 2025  17:55</t>
  </si>
  <si>
    <t xml:space="preserve">5 minutos 43 segundos</t>
  </si>
  <si>
    <t xml:space="preserve">24 de abril de 2025  08:58</t>
  </si>
  <si>
    <t xml:space="preserve">9 minutos 45 segundos</t>
  </si>
  <si>
    <t xml:space="preserve">27 de abril de 2025  19:06</t>
  </si>
  <si>
    <t xml:space="preserve">6 minutos 11 segundos</t>
  </si>
  <si>
    <t xml:space="preserve">24 de abril de 2025  18:39</t>
  </si>
  <si>
    <t xml:space="preserve">7 minutos 7 segundos</t>
  </si>
  <si>
    <t xml:space="preserve">24 de abril de 2025  01:41</t>
  </si>
  <si>
    <t xml:space="preserve">1 minutos 22 segundos</t>
  </si>
  <si>
    <t xml:space="preserve">24 de abril de 2025  17:58</t>
  </si>
  <si>
    <t xml:space="preserve">6 minutos 38 segundos</t>
  </si>
  <si>
    <t xml:space="preserve">24 de abril de 2025  18:07</t>
  </si>
  <si>
    <t xml:space="preserve">27 de abril de 2025  21:09</t>
  </si>
  <si>
    <t xml:space="preserve">27 de abril de 2025  21:15</t>
  </si>
  <si>
    <t xml:space="preserve">8 minutos 18 segundos</t>
  </si>
  <si>
    <t xml:space="preserve">26 de abril de 2025  11:41</t>
  </si>
  <si>
    <t xml:space="preserve">26 de abril de 2025  11:49</t>
  </si>
  <si>
    <t xml:space="preserve">5 minutos 1 segundos</t>
  </si>
  <si>
    <t xml:space="preserve">26 de abril de 2025  12:00</t>
  </si>
  <si>
    <t xml:space="preserve">26 de abril de 2025  12:05</t>
  </si>
  <si>
    <t xml:space="preserve">3 minutos 27 segundos</t>
  </si>
  <si>
    <t xml:space="preserve">26 de abril de 2025  12:08</t>
  </si>
  <si>
    <t xml:space="preserve">1 minutos 53 segundos</t>
  </si>
  <si>
    <t xml:space="preserve">26 de abril de 2025  12:10</t>
  </si>
  <si>
    <t xml:space="preserve">1 minutos 37 segundos</t>
  </si>
  <si>
    <t xml:space="preserve">26 de abril de 2025  12:16</t>
  </si>
  <si>
    <t xml:space="preserve">1 minutos 50 segundos</t>
  </si>
  <si>
    <t xml:space="preserve">26 de abril de 2025  12:18</t>
  </si>
  <si>
    <t xml:space="preserve">26 de abril de 2025  12:20</t>
  </si>
  <si>
    <t xml:space="preserve">1 minutos 32 segundos</t>
  </si>
  <si>
    <t xml:space="preserve">26 de abril de 2025  12:21</t>
  </si>
  <si>
    <t xml:space="preserve">1 minutos 35 segundos</t>
  </si>
  <si>
    <t xml:space="preserve">26 de abril de 2025  12:23</t>
  </si>
  <si>
    <t xml:space="preserve">1 minutos 39 segundos</t>
  </si>
  <si>
    <t xml:space="preserve">26 de abril de 2025  12:27</t>
  </si>
  <si>
    <t xml:space="preserve">1 minutos 26 segundos</t>
  </si>
  <si>
    <t xml:space="preserve">26 de abril de 2025  12:25</t>
  </si>
  <si>
    <t xml:space="preserve">1 minutos 27 segundos</t>
  </si>
  <si>
    <t xml:space="preserve">24 de abril de 2025  17:39</t>
  </si>
  <si>
    <t xml:space="preserve">7 minutos 22 segundos</t>
  </si>
  <si>
    <t xml:space="preserve">26 de abril de 2025  11:27</t>
  </si>
  <si>
    <t xml:space="preserve">27 de abril de 2025  21:49</t>
  </si>
  <si>
    <t xml:space="preserve">27 de abril de 2025  21:38</t>
  </si>
  <si>
    <t xml:space="preserve">8 minutos 40 segundos</t>
  </si>
  <si>
    <t xml:space="preserve">24 de abril de 2025  17:51</t>
  </si>
  <si>
    <t xml:space="preserve">4 minutos 4 segundos</t>
  </si>
  <si>
    <t xml:space="preserve">22 de abril de 2025  23:05</t>
  </si>
  <si>
    <t xml:space="preserve">7 minutos 35 segundos</t>
  </si>
  <si>
    <t xml:space="preserve">5 minutos 19 segundos</t>
  </si>
  <si>
    <t xml:space="preserve">27 de abril de 2025  21:23</t>
  </si>
  <si>
    <t xml:space="preserve">1 minutos 55 segundos</t>
  </si>
  <si>
    <t xml:space="preserve">27 de abril de 2025  21:12</t>
  </si>
  <si>
    <t xml:space="preserve">2 minutos 15 segundos</t>
  </si>
  <si>
    <t xml:space="preserve">24 de abril de 2025  18:51</t>
  </si>
  <si>
    <t xml:space="preserve">7 minutos 48 segundos</t>
  </si>
  <si>
    <t xml:space="preserve">27 de abril de 2025  19:20</t>
  </si>
  <si>
    <t xml:space="preserve">24 de abril de 2025  18:41</t>
  </si>
  <si>
    <t xml:space="preserve">2 minutos 33 segundos</t>
  </si>
  <si>
    <t xml:space="preserve">27 de abril de 2025  20:19</t>
  </si>
  <si>
    <t xml:space="preserve">1 minutos 59 segundos</t>
  </si>
  <si>
    <t xml:space="preserve">23 de abril de 2025  23:30</t>
  </si>
  <si>
    <t xml:space="preserve">3 minutos 4 segundos</t>
  </si>
  <si>
    <t xml:space="preserve">24 de abril de 2025  19:18</t>
  </si>
  <si>
    <t xml:space="preserve">7 minutos 43 segundos</t>
  </si>
  <si>
    <t xml:space="preserve">24 de abril de 2025  19:30</t>
  </si>
  <si>
    <t xml:space="preserve">4 minutos 54 segundos</t>
  </si>
  <si>
    <t xml:space="preserve">6 minutos 12 segundos</t>
  </si>
  <si>
    <t xml:space="preserve">24 de abril de 2025  19:25</t>
  </si>
  <si>
    <t xml:space="preserve">4 minutos 28 segundos</t>
  </si>
  <si>
    <t xml:space="preserve">24 de abril de 2025  09:06</t>
  </si>
  <si>
    <t xml:space="preserve">7 minutos 2 segundos</t>
  </si>
  <si>
    <t xml:space="preserve">27 de abril de 2025  19:12</t>
  </si>
  <si>
    <t xml:space="preserve">5 minutos 25 segundos</t>
  </si>
  <si>
    <t xml:space="preserve">24 de abril de 2025  19:04</t>
  </si>
  <si>
    <t xml:space="preserve">8 minutos 30 segundos</t>
  </si>
  <si>
    <t xml:space="preserve">24 de abril de 2025  01:42</t>
  </si>
  <si>
    <t xml:space="preserve">1 minutos 28 segundos</t>
  </si>
  <si>
    <t xml:space="preserve">24 de abril de 2025  18:18</t>
  </si>
  <si>
    <t xml:space="preserve">16 minutos 27 segundos</t>
  </si>
  <si>
    <t xml:space="preserve">24 de abril de 2025  17:11</t>
  </si>
  <si>
    <t xml:space="preserve">8 minutos 39 segundos</t>
  </si>
  <si>
    <t xml:space="preserve">27 de abril de 2025  21:27</t>
  </si>
  <si>
    <t xml:space="preserve">2 minutos 38 segundos</t>
  </si>
  <si>
    <t xml:space="preserve">27 de abril de 2025  21:36</t>
  </si>
  <si>
    <t xml:space="preserve">2 minutos 42 segundos</t>
  </si>
  <si>
    <t xml:space="preserve">26 de abril de 2025  11:03</t>
  </si>
  <si>
    <t xml:space="preserve">2 minutos 37 segundos</t>
  </si>
  <si>
    <t xml:space="preserve">26 de abril de 2025  10:58</t>
  </si>
  <si>
    <t xml:space="preserve">6 minutos 15 segundos</t>
  </si>
  <si>
    <t xml:space="preserve">27 de abril de 2025  22:41</t>
  </si>
  <si>
    <t xml:space="preserve">4 minutos 5 segundos</t>
  </si>
  <si>
    <t xml:space="preserve">27 de abril de 2025  21:57</t>
  </si>
  <si>
    <t xml:space="preserve">7 minutos 53 segundos</t>
  </si>
  <si>
    <t xml:space="preserve">10 minutos 15 segundos</t>
  </si>
  <si>
    <t xml:space="preserve">8 minutos 16 segundos</t>
  </si>
  <si>
    <t xml:space="preserve">3 minutos 49 segundos</t>
  </si>
  <si>
    <t xml:space="preserve">8 minutos 28 segundos</t>
  </si>
  <si>
    <t xml:space="preserve">3 minutos 25 segundos</t>
  </si>
  <si>
    <t xml:space="preserve">9 minutos 20 segundos</t>
  </si>
  <si>
    <t xml:space="preserve">3 minutos 37 segundos</t>
  </si>
  <si>
    <t xml:space="preserve">6 minutos 17 segundos</t>
  </si>
  <si>
    <t xml:space="preserve">6 minutos 43 segundos</t>
  </si>
  <si>
    <t xml:space="preserve">6 minutos 40 segundos</t>
  </si>
  <si>
    <t xml:space="preserve">2 minutos 47 segundos</t>
  </si>
  <si>
    <t xml:space="preserve">4 minutos 34 segundos</t>
  </si>
  <si>
    <t xml:space="preserve">3 minutos 9 segundos</t>
  </si>
  <si>
    <t xml:space="preserve">8 minutos 24 segundos</t>
  </si>
  <si>
    <t xml:space="preserve">4 minutos 14 segundos</t>
  </si>
  <si>
    <t xml:space="preserve">8 minutos 19 segundos</t>
  </si>
  <si>
    <t xml:space="preserve">4 minutos 26 segundos</t>
  </si>
  <si>
    <t xml:space="preserve">4 minutos 53 segundos</t>
  </si>
  <si>
    <t xml:space="preserve">3 minutos 42 segundos</t>
  </si>
  <si>
    <t xml:space="preserve">4 minutos 58 segundos</t>
  </si>
  <si>
    <t xml:space="preserve">6 minutos 3 segundos</t>
  </si>
  <si>
    <t xml:space="preserve">1 minutos 19 segundos</t>
  </si>
  <si>
    <t xml:space="preserve">7 minutos 29 segundos</t>
  </si>
  <si>
    <t xml:space="preserve">4 minutos</t>
  </si>
  <si>
    <t xml:space="preserve">4 minutos 41 segundos</t>
  </si>
  <si>
    <t xml:space="preserve">8 minutos 26 segundos</t>
  </si>
  <si>
    <t xml:space="preserve">4 minutos 45 segundos</t>
  </si>
  <si>
    <t xml:space="preserve">5 minutos 14 segundos</t>
  </si>
  <si>
    <t xml:space="preserve">2 minutos 5 segundos</t>
  </si>
  <si>
    <t xml:space="preserve">6 minutos 41 segundos</t>
  </si>
  <si>
    <t xml:space="preserve">5 minutos 57 segundos</t>
  </si>
  <si>
    <t xml:space="preserve">8 minutos 37 segundos</t>
  </si>
  <si>
    <t xml:space="preserve">4 minutos 35 segundos</t>
  </si>
  <si>
    <t xml:space="preserve">7 minutos 47 segundos</t>
  </si>
  <si>
    <t xml:space="preserve">6 minutos 32 segundos</t>
  </si>
  <si>
    <t xml:space="preserve">9 minutos 53 segundos</t>
  </si>
  <si>
    <t xml:space="preserve">6 minutos 20 segundos</t>
  </si>
  <si>
    <t xml:space="preserve">4 minutos 59 segundos</t>
  </si>
  <si>
    <t xml:space="preserve">4 minutos 18 segundos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</si>
</sst>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General"/>
    <numFmt numFmtId="167" formatCode="hh:mm:ss"/>
  </numFmts>
  <fonts count="8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Calibri"/>
      <family val="0"/>
      <charset val="1"/>
    </font>
    <font>
      <sz val="12"/>
      <color rgb="FF000000"/>
      <name val="Calibri"/>
      <family val="2"/>
      <charset val="1"/>
    </font>
    <font>
      <sz val="12"/>
      <color rgb="FFC9211E"/>
      <name val="Calibri"/>
      <family val="0"/>
      <charset val="1"/>
    </font>
    <font>
      <sz val="12"/>
      <color rgb="FF000000"/>
      <name val="AnjaliOldLip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EB3B"/>
      </patternFill>
    </fill>
    <fill>
      <patternFill patternType="solid">
        <fgColor rgb="FFFF0000"/>
        <bgColor rgb="FFCC0000"/>
      </patternFill>
    </fill>
    <fill>
      <patternFill patternType="solid">
        <fgColor rgb="FFFF9800"/>
        <bgColor rgb="FFFFBF00"/>
      </patternFill>
    </fill>
    <fill>
      <patternFill patternType="solid">
        <fgColor rgb="FF81D41A"/>
        <bgColor rgb="FF969696"/>
      </patternFill>
    </fill>
    <fill>
      <patternFill patternType="solid">
        <fgColor rgb="FFFFEB3B"/>
        <bgColor rgb="FFFFD428"/>
      </patternFill>
    </fill>
    <fill>
      <patternFill patternType="solid">
        <fgColor rgb="FFFF4000"/>
        <bgColor rgb="FFC9211E"/>
      </patternFill>
    </fill>
    <fill>
      <patternFill patternType="solid">
        <fgColor rgb="FFFFBF00"/>
        <bgColor rgb="FFFFC107"/>
      </patternFill>
    </fill>
    <fill>
      <patternFill patternType="solid">
        <fgColor rgb="FFFFC107"/>
        <bgColor rgb="FFFFBF00"/>
      </patternFill>
    </fill>
    <fill>
      <patternFill patternType="solid">
        <fgColor rgb="FFFFD428"/>
        <bgColor rgb="FFFFC10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ont>
        <name val="Calibri"/>
        <charset val="1"/>
        <family val="0"/>
        <color rgb="FF006600"/>
        <sz val="12"/>
      </font>
      <fill>
        <patternFill>
          <bgColor rgb="FFCCFFCC"/>
        </patternFill>
      </fill>
    </dxf>
    <dxf>
      <font>
        <name val="Calibri"/>
        <charset val="1"/>
        <family val="0"/>
        <color rgb="FF006600"/>
        <sz val="12"/>
      </font>
      <fill>
        <patternFill>
          <bgColor rgb="FFCCFFCC"/>
        </patternFill>
      </fill>
    </dxf>
    <dxf>
      <font>
        <name val="Calibri"/>
        <charset val="1"/>
        <family val="0"/>
        <color rgb="FFCC0000"/>
        <sz val="12"/>
      </font>
      <fill>
        <patternFill>
          <bgColor rgb="FFFFCCCC"/>
        </patternFill>
      </fill>
    </dxf>
    <dxf>
      <font>
        <name val="Calibri"/>
        <charset val="1"/>
        <family val="0"/>
        <b val="1"/>
        <color rgb="FFFFFFFF"/>
        <sz val="12"/>
      </font>
      <fill>
        <patternFill>
          <bgColor rgb="FFCC0000"/>
        </patternFill>
      </fill>
    </dxf>
    <dxf>
      <font>
        <name val="Calibri"/>
        <charset val="1"/>
        <family val="0"/>
        <b val="1"/>
        <color rgb="FFFFFFFF"/>
        <sz val="12"/>
      </font>
      <fill>
        <patternFill>
          <bgColor rgb="FFCC0000"/>
        </patternFill>
      </fill>
    </dxf>
    <dxf>
      <font>
        <name val="Calibri"/>
        <charset val="1"/>
        <family val="0"/>
        <color rgb="FFCC0000"/>
        <sz val="12"/>
      </font>
    </dxf>
    <dxf>
      <font>
        <name val="Calibri"/>
        <charset val="1"/>
        <family val="0"/>
        <b val="1"/>
        <color rgb="FFFFFFFF"/>
        <sz val="12"/>
      </font>
      <fill>
        <patternFill>
          <bgColor rgb="FFCC0000"/>
        </patternFill>
      </fill>
    </dxf>
    <dxf>
      <font>
        <name val="Calibri"/>
        <charset val="1"/>
        <family val="0"/>
        <color rgb="FF006600"/>
        <sz val="12"/>
      </font>
      <fill>
        <patternFill>
          <bgColor rgb="FFCCFFCC"/>
        </patternFill>
      </fill>
    </dxf>
    <dxf>
      <font>
        <name val="Calibri"/>
        <charset val="1"/>
        <family val="0"/>
        <color rgb="FFCC0000"/>
        <sz val="12"/>
      </font>
      <fill>
        <patternFill>
          <bgColor rgb="FFFFCCCC"/>
        </patternFill>
      </fill>
    </dxf>
    <dxf>
      <font>
        <name val="Calibri"/>
        <charset val="1"/>
        <family val="0"/>
        <b val="1"/>
        <color rgb="FFFFFFFF"/>
        <sz val="12"/>
      </font>
      <fill>
        <patternFill>
          <bgColor rgb="FFCC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BF00"/>
      <rgbColor rgb="FF0066CC"/>
      <rgbColor rgb="FFCCCCFF"/>
      <rgbColor rgb="FF000080"/>
      <rgbColor rgb="FFFF00FF"/>
      <rgbColor rgb="FFFFEB3B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428"/>
      <rgbColor rgb="FF99CCFF"/>
      <rgbColor rgb="FFFF99CC"/>
      <rgbColor rgb="FFCC99FF"/>
      <rgbColor rgb="FFFFCCCC"/>
      <rgbColor rgb="FF3366FF"/>
      <rgbColor rgb="FF33CCCC"/>
      <rgbColor rgb="FF81D41A"/>
      <rgbColor rgb="FFFFC107"/>
      <rgbColor rgb="FFFF9800"/>
      <rgbColor rgb="FFFF40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32"/>
  <sheetViews>
    <sheetView showFormulas="false" showGridLines="true" showRowColHeaders="true" showZeros="true" rightToLeft="false" tabSelected="false" showOutlineSymbols="true" defaultGridColor="true" view="normal" topLeftCell="A2" colorId="64" zoomScale="80" zoomScaleNormal="80" zoomScalePageLayoutView="100" workbookViewId="0">
      <selection pane="topLeft" activeCell="AR34" activeCellId="0" sqref="AR34"/>
    </sheetView>
  </sheetViews>
  <sheetFormatPr defaultColWidth="8.8125" defaultRowHeight="15" zeroHeight="false" outlineLevelRow="0" outlineLevelCol="0"/>
  <cols>
    <col collapsed="false" customWidth="true" hidden="false" outlineLevel="0" max="1" min="1" style="1" width="4.2"/>
    <col collapsed="false" customWidth="true" hidden="true" outlineLevel="0" max="2" min="2" style="1" width="21.98"/>
    <col collapsed="false" customWidth="true" hidden="false" outlineLevel="0" max="3" min="3" style="1" width="18.61"/>
    <col collapsed="false" customWidth="true" hidden="true" outlineLevel="0" max="4" min="4" style="1" width="33.13"/>
    <col collapsed="false" customWidth="true" hidden="true" outlineLevel="0" max="19" min="5" style="1" width="8.69"/>
    <col collapsed="false" customWidth="false" hidden="true" outlineLevel="0" max="29" min="20" style="1" width="8.81"/>
    <col collapsed="false" customWidth="false" hidden="true" outlineLevel="0" max="30" min="30" style="1" width="8.8"/>
    <col collapsed="false" customWidth="false" hidden="true" outlineLevel="0" max="42" min="31" style="1" width="8.81"/>
    <col collapsed="false" customWidth="false" hidden="false" outlineLevel="0" max="45" min="43" style="2" width="8.81"/>
  </cols>
  <sheetData>
    <row r="1" customFormat="false" ht="15" hidden="false" customHeight="false" outlineLevel="0" collapsed="false">
      <c r="B1" s="3"/>
      <c r="C1" s="3"/>
      <c r="D1" s="3"/>
      <c r="E1" s="4"/>
      <c r="F1" s="4"/>
      <c r="H1" s="4"/>
      <c r="I1" s="4"/>
      <c r="J1" s="4"/>
      <c r="K1" s="4"/>
      <c r="T1" s="4"/>
      <c r="V1" s="1" t="n">
        <v>6</v>
      </c>
      <c r="W1" s="1" t="n">
        <v>10</v>
      </c>
      <c r="AV1" s="3" t="s">
        <v>0</v>
      </c>
      <c r="AW1" s="1" t="n">
        <v>12</v>
      </c>
      <c r="BA1" s="3" t="n">
        <v>12</v>
      </c>
      <c r="BB1" s="1" t="n">
        <v>10</v>
      </c>
    </row>
    <row r="2" customFormat="false" ht="15" hidden="false" customHeight="false" outlineLevel="0" collapsed="false">
      <c r="A2" s="1" t="s">
        <v>1</v>
      </c>
      <c r="B2" s="3" t="s">
        <v>2</v>
      </c>
      <c r="C2" s="3" t="s">
        <v>3</v>
      </c>
      <c r="D2" s="3" t="s">
        <v>4</v>
      </c>
      <c r="E2" s="4" t="n">
        <v>45790</v>
      </c>
      <c r="F2" s="4" t="n">
        <v>45797</v>
      </c>
      <c r="G2" s="1" t="s">
        <v>5</v>
      </c>
      <c r="H2" s="4" t="n">
        <v>45804</v>
      </c>
      <c r="I2" s="4" t="n">
        <v>45811</v>
      </c>
      <c r="J2" s="4" t="n">
        <v>45818</v>
      </c>
      <c r="K2" s="4" t="n">
        <v>45846</v>
      </c>
      <c r="L2" s="1" t="s">
        <v>5</v>
      </c>
      <c r="M2" s="1" t="s">
        <v>6</v>
      </c>
      <c r="N2" s="1" t="s">
        <v>7</v>
      </c>
      <c r="O2" s="1" t="s">
        <v>8</v>
      </c>
      <c r="P2" s="1" t="s">
        <v>6</v>
      </c>
      <c r="Q2" s="1" t="s">
        <v>9</v>
      </c>
      <c r="R2" s="1" t="s">
        <v>10</v>
      </c>
      <c r="S2" s="1" t="n">
        <v>6</v>
      </c>
      <c r="T2" s="4" t="n">
        <v>45853</v>
      </c>
      <c r="U2" s="1" t="s">
        <v>5</v>
      </c>
      <c r="V2" s="4" t="n">
        <v>45895</v>
      </c>
      <c r="W2" s="1" t="s">
        <v>5</v>
      </c>
      <c r="X2" s="4" t="n">
        <v>45902</v>
      </c>
      <c r="Y2" s="1" t="s">
        <v>5</v>
      </c>
      <c r="Z2" s="4" t="n">
        <v>45909</v>
      </c>
      <c r="AA2" s="1" t="s">
        <v>5</v>
      </c>
      <c r="AB2" s="4" t="n">
        <v>45916</v>
      </c>
      <c r="AC2" s="1" t="s">
        <v>5</v>
      </c>
      <c r="AD2" s="4" t="n">
        <v>45923</v>
      </c>
      <c r="AE2" s="1" t="s">
        <v>5</v>
      </c>
      <c r="AF2" s="4" t="n">
        <v>45930</v>
      </c>
      <c r="AG2" s="4" t="n">
        <v>45944</v>
      </c>
      <c r="AH2" s="3" t="s">
        <v>5</v>
      </c>
      <c r="AI2" s="4" t="n">
        <v>45951</v>
      </c>
      <c r="AJ2" s="3" t="s">
        <v>5</v>
      </c>
      <c r="AK2" s="4" t="n">
        <v>45958</v>
      </c>
      <c r="AL2" s="3" t="s">
        <v>5</v>
      </c>
      <c r="AM2" s="4" t="n">
        <v>45965</v>
      </c>
      <c r="AN2" s="3" t="s">
        <v>5</v>
      </c>
      <c r="AO2" s="4" t="n">
        <v>45972</v>
      </c>
      <c r="AP2" s="3" t="s">
        <v>5</v>
      </c>
      <c r="AQ2" s="5" t="n">
        <v>45979</v>
      </c>
      <c r="AR2" s="6" t="s">
        <v>5</v>
      </c>
      <c r="AS2" s="5" t="n">
        <v>45986</v>
      </c>
      <c r="AU2" s="3" t="s">
        <v>6</v>
      </c>
      <c r="AV2" s="3" t="s">
        <v>11</v>
      </c>
      <c r="AW2" s="3" t="s">
        <v>8</v>
      </c>
      <c r="AX2" s="3" t="s">
        <v>12</v>
      </c>
      <c r="AY2" s="7" t="n">
        <v>45993</v>
      </c>
      <c r="AZ2" s="7" t="n">
        <v>46000</v>
      </c>
      <c r="BA2" s="3" t="s">
        <v>13</v>
      </c>
      <c r="BB2" s="3" t="s">
        <v>14</v>
      </c>
    </row>
    <row r="3" customFormat="false" ht="15.65" hidden="true" customHeight="false" outlineLevel="0" collapsed="false">
      <c r="A3" s="1" t="n">
        <v>1</v>
      </c>
      <c r="B3" s="3" t="s">
        <v>15</v>
      </c>
      <c r="C3" s="3" t="s">
        <v>16</v>
      </c>
      <c r="D3" s="3" t="s">
        <v>17</v>
      </c>
      <c r="E3" s="1" t="s">
        <v>18</v>
      </c>
      <c r="F3" s="1" t="s">
        <v>18</v>
      </c>
      <c r="H3" s="1" t="s">
        <v>19</v>
      </c>
      <c r="I3" s="1" t="s">
        <v>18</v>
      </c>
      <c r="J3" s="1" t="s">
        <v>18</v>
      </c>
      <c r="K3" s="1" t="s">
        <v>18</v>
      </c>
      <c r="M3" s="1" t="n">
        <f aca="false">COUNTIF(E3:K3,"P")</f>
        <v>5</v>
      </c>
      <c r="N3" s="1" t="n">
        <f aca="false">COUNTIF(E3:K3,"M")</f>
        <v>0</v>
      </c>
      <c r="O3" s="1" t="n">
        <f aca="false">COUNTIF(E3:K3,"T")</f>
        <v>0</v>
      </c>
      <c r="P3" s="1" t="n">
        <f aca="false">M3+N3/2+O3/4</f>
        <v>5</v>
      </c>
      <c r="Q3" s="8" t="n">
        <f aca="false">ROUND(P3*10/$S$2,0)</f>
        <v>8</v>
      </c>
      <c r="T3" s="1" t="s">
        <v>18</v>
      </c>
      <c r="V3" s="1" t="s">
        <v>19</v>
      </c>
      <c r="X3" s="1" t="s">
        <v>20</v>
      </c>
      <c r="Y3" s="9" t="n">
        <v>0.5625</v>
      </c>
      <c r="Z3" s="1" t="s">
        <v>20</v>
      </c>
      <c r="AA3" s="9" t="n">
        <v>0.555555555555556</v>
      </c>
      <c r="AB3" s="1" t="s">
        <v>18</v>
      </c>
      <c r="AD3" s="3" t="s">
        <v>20</v>
      </c>
      <c r="AE3" s="9" t="n">
        <v>0.570833333333333</v>
      </c>
      <c r="AF3" s="1" t="s">
        <v>18</v>
      </c>
      <c r="AG3" s="3" t="s">
        <v>18</v>
      </c>
      <c r="AI3" s="3" t="s">
        <v>19</v>
      </c>
      <c r="AK3" s="3" t="s">
        <v>21</v>
      </c>
      <c r="AL3" s="9" t="n">
        <v>0.541666666666667</v>
      </c>
      <c r="AM3" s="3" t="s">
        <v>19</v>
      </c>
      <c r="AO3" s="3" t="s">
        <v>20</v>
      </c>
      <c r="AP3" s="9" t="n">
        <v>0.555555555555556</v>
      </c>
      <c r="AQ3" s="2" t="s">
        <v>20</v>
      </c>
      <c r="AR3" s="10" t="n">
        <v>0.5625</v>
      </c>
      <c r="AS3" s="2" t="s">
        <v>19</v>
      </c>
      <c r="AU3" s="3" t="n">
        <f aca="false">COUNTIF(T3:AO3,"P")</f>
        <v>4</v>
      </c>
      <c r="AV3" s="3" t="n">
        <f aca="false">COUNTIF(T3:AO3,"M")</f>
        <v>1</v>
      </c>
      <c r="AW3" s="3" t="n">
        <f aca="false">COUNTIF(T3:AO3,"T")</f>
        <v>4</v>
      </c>
      <c r="AX3" s="8" t="n">
        <f aca="false">ROUND((AU3+AV3/2+AW3/4)*10/12,0)</f>
        <v>5</v>
      </c>
    </row>
    <row r="4" customFormat="false" ht="15.65" hidden="false" customHeight="false" outlineLevel="0" collapsed="false">
      <c r="A4" s="1" t="n">
        <v>2</v>
      </c>
      <c r="B4" s="3" t="s">
        <v>22</v>
      </c>
      <c r="C4" s="11" t="s">
        <v>23</v>
      </c>
      <c r="D4" s="3" t="s">
        <v>24</v>
      </c>
      <c r="E4" s="1" t="s">
        <v>19</v>
      </c>
      <c r="F4" s="1" t="s">
        <v>18</v>
      </c>
      <c r="H4" s="1" t="s">
        <v>19</v>
      </c>
      <c r="I4" s="1" t="s">
        <v>18</v>
      </c>
      <c r="J4" s="1" t="s">
        <v>18</v>
      </c>
      <c r="K4" s="1" t="s">
        <v>18</v>
      </c>
      <c r="M4" s="1" t="n">
        <f aca="false">COUNTIF(E4:K4,"P")</f>
        <v>4</v>
      </c>
      <c r="N4" s="1" t="n">
        <f aca="false">COUNTIF(E4:K4,"M")</f>
        <v>0</v>
      </c>
      <c r="O4" s="1" t="n">
        <f aca="false">COUNTIF(E4:K4,"T")</f>
        <v>0</v>
      </c>
      <c r="P4" s="1" t="n">
        <f aca="false">M4+N4/2+O4/4</f>
        <v>4</v>
      </c>
      <c r="Q4" s="8" t="n">
        <f aca="false">ROUND(P4*10/$S$2,0)</f>
        <v>7</v>
      </c>
      <c r="T4" s="1" t="s">
        <v>18</v>
      </c>
      <c r="V4" s="1" t="s">
        <v>18</v>
      </c>
      <c r="X4" s="1" t="s">
        <v>19</v>
      </c>
      <c r="Z4" s="1" t="s">
        <v>18</v>
      </c>
      <c r="AB4" s="1" t="s">
        <v>18</v>
      </c>
      <c r="AD4" s="3" t="s">
        <v>18</v>
      </c>
      <c r="AF4" s="1" t="s">
        <v>18</v>
      </c>
      <c r="AG4" s="3" t="s">
        <v>18</v>
      </c>
      <c r="AI4" s="3" t="s">
        <v>18</v>
      </c>
      <c r="AK4" s="3" t="s">
        <v>18</v>
      </c>
      <c r="AM4" s="3" t="s">
        <v>19</v>
      </c>
      <c r="AO4" s="3" t="s">
        <v>18</v>
      </c>
      <c r="AQ4" s="2" t="s">
        <v>18</v>
      </c>
      <c r="AS4" s="2" t="s">
        <v>18</v>
      </c>
      <c r="AU4" s="3" t="n">
        <f aca="false">COUNTIF(T4:AS4,"P")</f>
        <v>12</v>
      </c>
      <c r="AV4" s="3" t="n">
        <f aca="false">COUNTIF(T4:AS4,"M")</f>
        <v>0</v>
      </c>
      <c r="AW4" s="3" t="n">
        <f aca="false">COUNTIF(T4:AS4,"T")</f>
        <v>0</v>
      </c>
      <c r="AX4" s="8" t="n">
        <f aca="false">ROUND((AU4+AV4/2+AW4/4)*10/12,0)</f>
        <v>10</v>
      </c>
      <c r="AY4" s="12" t="s">
        <v>19</v>
      </c>
      <c r="AZ4" s="12" t="s">
        <v>19</v>
      </c>
    </row>
    <row r="5" customFormat="false" ht="15.65" hidden="true" customHeight="false" outlineLevel="0" collapsed="false">
      <c r="A5" s="1" t="n">
        <v>3</v>
      </c>
      <c r="B5" s="3" t="s">
        <v>25</v>
      </c>
      <c r="C5" s="3" t="s">
        <v>26</v>
      </c>
      <c r="D5" s="3" t="s">
        <v>27</v>
      </c>
      <c r="E5" s="1" t="s">
        <v>18</v>
      </c>
      <c r="F5" s="1" t="s">
        <v>18</v>
      </c>
      <c r="H5" s="1" t="s">
        <v>19</v>
      </c>
      <c r="I5" s="1" t="s">
        <v>18</v>
      </c>
      <c r="J5" s="1" t="s">
        <v>18</v>
      </c>
      <c r="K5" s="1" t="s">
        <v>18</v>
      </c>
      <c r="M5" s="1" t="n">
        <f aca="false">COUNTIF(E5:K5,"P")</f>
        <v>5</v>
      </c>
      <c r="N5" s="1" t="n">
        <f aca="false">COUNTIF(E5:K5,"M")</f>
        <v>0</v>
      </c>
      <c r="O5" s="1" t="n">
        <f aca="false">COUNTIF(E5:K5,"T")</f>
        <v>0</v>
      </c>
      <c r="P5" s="1" t="n">
        <f aca="false">M5+N5/2+O5/4</f>
        <v>5</v>
      </c>
      <c r="Q5" s="8" t="n">
        <f aca="false">ROUND(P5*10/$S$2,0)</f>
        <v>8</v>
      </c>
      <c r="T5" s="1" t="s">
        <v>18</v>
      </c>
      <c r="V5" s="1" t="s">
        <v>20</v>
      </c>
      <c r="W5" s="9" t="n">
        <v>0.597222222222222</v>
      </c>
      <c r="X5" s="1" t="s">
        <v>20</v>
      </c>
      <c r="Y5" s="9" t="n">
        <v>0.5625</v>
      </c>
      <c r="Z5" s="1" t="s">
        <v>18</v>
      </c>
      <c r="AB5" s="1" t="s">
        <v>18</v>
      </c>
      <c r="AD5" s="3" t="s">
        <v>18</v>
      </c>
      <c r="AF5" s="1" t="s">
        <v>18</v>
      </c>
      <c r="AG5" s="3" t="s">
        <v>18</v>
      </c>
      <c r="AI5" s="3" t="s">
        <v>19</v>
      </c>
      <c r="AK5" s="3" t="s">
        <v>18</v>
      </c>
      <c r="AM5" s="3" t="s">
        <v>18</v>
      </c>
      <c r="AO5" s="3" t="s">
        <v>18</v>
      </c>
      <c r="AQ5" s="2" t="s">
        <v>18</v>
      </c>
      <c r="AS5" s="2" t="s">
        <v>18</v>
      </c>
      <c r="AU5" s="3" t="n">
        <f aca="false">COUNTIF(T5:AO5,"P")</f>
        <v>9</v>
      </c>
      <c r="AV5" s="3" t="n">
        <f aca="false">COUNTIF(T5:AO5,"M")</f>
        <v>0</v>
      </c>
      <c r="AW5" s="3" t="n">
        <f aca="false">COUNTIF(T5:AO5,"T")</f>
        <v>2</v>
      </c>
      <c r="AX5" s="8" t="n">
        <f aca="false">ROUND((AU5+AV5/2+AW5/4)*10/12,0)</f>
        <v>8</v>
      </c>
    </row>
    <row r="6" customFormat="false" ht="15.65" hidden="true" customHeight="false" outlineLevel="0" collapsed="false">
      <c r="A6" s="1" t="n">
        <v>4</v>
      </c>
      <c r="B6" s="3" t="s">
        <v>28</v>
      </c>
      <c r="C6" s="3" t="s">
        <v>29</v>
      </c>
      <c r="D6" s="3" t="s">
        <v>30</v>
      </c>
      <c r="E6" s="1" t="s">
        <v>19</v>
      </c>
      <c r="F6" s="1" t="s">
        <v>18</v>
      </c>
      <c r="H6" s="1" t="s">
        <v>19</v>
      </c>
      <c r="I6" s="1" t="s">
        <v>18</v>
      </c>
      <c r="J6" s="1" t="s">
        <v>19</v>
      </c>
      <c r="K6" s="1" t="s">
        <v>19</v>
      </c>
      <c r="M6" s="1" t="n">
        <f aca="false">COUNTIF(E6:K6,"P")</f>
        <v>2</v>
      </c>
      <c r="N6" s="1" t="n">
        <f aca="false">COUNTIF(E6:K6,"M")</f>
        <v>0</v>
      </c>
      <c r="O6" s="1" t="n">
        <f aca="false">COUNTIF(E6:K6,"T")</f>
        <v>0</v>
      </c>
      <c r="P6" s="1" t="n">
        <f aca="false">M6+N6/2+O6/4</f>
        <v>2</v>
      </c>
      <c r="Q6" s="8" t="n">
        <f aca="false">ROUND(P6*10/$S$2,0)</f>
        <v>3</v>
      </c>
      <c r="T6" s="1" t="s">
        <v>18</v>
      </c>
      <c r="U6" s="9"/>
      <c r="V6" s="1" t="s">
        <v>21</v>
      </c>
      <c r="W6" s="9" t="n">
        <v>0.548611111111111</v>
      </c>
      <c r="X6" s="1" t="s">
        <v>19</v>
      </c>
      <c r="Z6" s="1" t="s">
        <v>18</v>
      </c>
      <c r="AB6" s="1" t="s">
        <v>20</v>
      </c>
      <c r="AC6" s="9" t="n">
        <v>0.597222222222222</v>
      </c>
      <c r="AD6" s="3" t="s">
        <v>20</v>
      </c>
      <c r="AE6" s="9" t="n">
        <v>0.570833333333333</v>
      </c>
      <c r="AF6" s="1" t="s">
        <v>18</v>
      </c>
      <c r="AG6" s="3" t="s">
        <v>20</v>
      </c>
      <c r="AH6" s="9" t="n">
        <v>0.555555555555556</v>
      </c>
      <c r="AI6" s="3" t="s">
        <v>19</v>
      </c>
      <c r="AK6" s="3" t="s">
        <v>19</v>
      </c>
      <c r="AM6" s="3" t="s">
        <v>19</v>
      </c>
      <c r="AO6" s="3" t="s">
        <v>18</v>
      </c>
      <c r="AQ6" s="2" t="s">
        <v>20</v>
      </c>
      <c r="AR6" s="10" t="n">
        <v>0.5625</v>
      </c>
      <c r="AS6" s="2" t="s">
        <v>20</v>
      </c>
      <c r="AU6" s="3" t="n">
        <f aca="false">COUNTIF(T6:AO6,"P")</f>
        <v>4</v>
      </c>
      <c r="AV6" s="3" t="n">
        <f aca="false">COUNTIF(T6:AO6,"M")</f>
        <v>1</v>
      </c>
      <c r="AW6" s="3" t="n">
        <f aca="false">COUNTIF(T6:AO6,"T")</f>
        <v>3</v>
      </c>
      <c r="AX6" s="8" t="n">
        <f aca="false">ROUND((AU6+AV6/2+AW6/4)*10/12,0)</f>
        <v>4</v>
      </c>
    </row>
    <row r="7" customFormat="false" ht="15.65" hidden="true" customHeight="false" outlineLevel="0" collapsed="false">
      <c r="A7" s="1" t="n">
        <v>5</v>
      </c>
      <c r="B7" s="3" t="s">
        <v>31</v>
      </c>
      <c r="C7" s="11" t="s">
        <v>32</v>
      </c>
      <c r="D7" s="3" t="s">
        <v>33</v>
      </c>
      <c r="E7" s="1" t="s">
        <v>18</v>
      </c>
      <c r="F7" s="1" t="s">
        <v>18</v>
      </c>
      <c r="H7" s="1" t="s">
        <v>19</v>
      </c>
      <c r="I7" s="1" t="s">
        <v>18</v>
      </c>
      <c r="J7" s="1" t="s">
        <v>18</v>
      </c>
      <c r="K7" s="1" t="s">
        <v>18</v>
      </c>
      <c r="M7" s="1" t="n">
        <f aca="false">COUNTIF(E7:K7,"P")</f>
        <v>5</v>
      </c>
      <c r="N7" s="1" t="n">
        <f aca="false">COUNTIF(E7:K7,"M")</f>
        <v>0</v>
      </c>
      <c r="O7" s="1" t="n">
        <f aca="false">COUNTIF(E7:K7,"T")</f>
        <v>0</v>
      </c>
      <c r="P7" s="1" t="n">
        <f aca="false">M7+N7/2+O7/4</f>
        <v>5</v>
      </c>
      <c r="Q7" s="8" t="n">
        <f aca="false">ROUND(P7*10/$S$2,0)</f>
        <v>8</v>
      </c>
      <c r="T7" s="1" t="s">
        <v>18</v>
      </c>
      <c r="V7" s="1" t="s">
        <v>18</v>
      </c>
      <c r="X7" s="1" t="s">
        <v>18</v>
      </c>
      <c r="Z7" s="1" t="s">
        <v>18</v>
      </c>
      <c r="AB7" s="1" t="s">
        <v>18</v>
      </c>
      <c r="AD7" s="3" t="s">
        <v>18</v>
      </c>
      <c r="AF7" s="1" t="s">
        <v>18</v>
      </c>
      <c r="AG7" s="3" t="s">
        <v>18</v>
      </c>
      <c r="AI7" s="3" t="s">
        <v>18</v>
      </c>
      <c r="AK7" s="3" t="s">
        <v>18</v>
      </c>
      <c r="AM7" s="3" t="s">
        <v>18</v>
      </c>
      <c r="AN7" s="9" t="n">
        <v>0.576388888888889</v>
      </c>
      <c r="AO7" s="3" t="s">
        <v>19</v>
      </c>
      <c r="AQ7" s="2" t="s">
        <v>18</v>
      </c>
      <c r="AS7" s="2" t="s">
        <v>20</v>
      </c>
      <c r="AU7" s="3" t="n">
        <f aca="false">COUNTIF(T7:AS7,"P")</f>
        <v>12</v>
      </c>
      <c r="AV7" s="3" t="n">
        <f aca="false">COUNTIF(T7:AS7,"M")</f>
        <v>0</v>
      </c>
      <c r="AW7" s="3" t="n">
        <f aca="false">COUNTIF(T7:AS7,"T")</f>
        <v>1</v>
      </c>
      <c r="AX7" s="8" t="n">
        <f aca="false">ROUND((AU7+AV7/2+AW7/4)*10/12,0)</f>
        <v>10</v>
      </c>
    </row>
    <row r="8" customFormat="false" ht="15.65" hidden="false" customHeight="false" outlineLevel="0" collapsed="false">
      <c r="A8" s="1" t="n">
        <v>6</v>
      </c>
      <c r="B8" s="3" t="s">
        <v>34</v>
      </c>
      <c r="C8" s="11" t="s">
        <v>35</v>
      </c>
      <c r="D8" s="3" t="s">
        <v>36</v>
      </c>
      <c r="E8" s="1" t="s">
        <v>19</v>
      </c>
      <c r="F8" s="1" t="s">
        <v>19</v>
      </c>
      <c r="H8" s="1" t="s">
        <v>19</v>
      </c>
      <c r="I8" s="1" t="s">
        <v>19</v>
      </c>
      <c r="J8" s="1" t="s">
        <v>19</v>
      </c>
      <c r="K8" s="1" t="s">
        <v>19</v>
      </c>
      <c r="M8" s="1" t="n">
        <f aca="false">COUNTIF(E8:K8,"P")</f>
        <v>0</v>
      </c>
      <c r="N8" s="1" t="n">
        <f aca="false">COUNTIF(E8:K8,"M")</f>
        <v>0</v>
      </c>
      <c r="O8" s="1" t="n">
        <f aca="false">COUNTIF(E8:K8,"T")</f>
        <v>0</v>
      </c>
      <c r="P8" s="1" t="n">
        <f aca="false">M8+N8/2+O8/4</f>
        <v>0</v>
      </c>
      <c r="Q8" s="8" t="n">
        <f aca="false">ROUND(P8*10/$S$2,0)</f>
        <v>0</v>
      </c>
      <c r="T8" s="1" t="s">
        <v>19</v>
      </c>
      <c r="V8" s="1" t="s">
        <v>18</v>
      </c>
      <c r="X8" s="1" t="s">
        <v>20</v>
      </c>
      <c r="Y8" s="9" t="n">
        <v>0.5625</v>
      </c>
      <c r="Z8" s="1" t="s">
        <v>20</v>
      </c>
      <c r="AA8" s="9" t="n">
        <v>0.583333333333333</v>
      </c>
      <c r="AB8" s="1" t="s">
        <v>18</v>
      </c>
      <c r="AD8" s="3" t="s">
        <v>19</v>
      </c>
      <c r="AF8" s="1" t="s">
        <v>18</v>
      </c>
      <c r="AG8" s="3" t="s">
        <v>19</v>
      </c>
      <c r="AI8" s="3" t="s">
        <v>19</v>
      </c>
      <c r="AK8" s="3" t="s">
        <v>19</v>
      </c>
      <c r="AM8" s="3" t="s">
        <v>19</v>
      </c>
      <c r="AO8" s="3" t="s">
        <v>19</v>
      </c>
      <c r="AQ8" s="2" t="s">
        <v>19</v>
      </c>
      <c r="AS8" s="2" t="s">
        <v>19</v>
      </c>
      <c r="AU8" s="3" t="n">
        <f aca="false">COUNTIF(T8:AS8,"P")</f>
        <v>3</v>
      </c>
      <c r="AV8" s="3" t="n">
        <f aca="false">COUNTIF(T8:AS8,"M")</f>
        <v>0</v>
      </c>
      <c r="AW8" s="3" t="n">
        <f aca="false">COUNTIF(T8:AS8,"T")</f>
        <v>2</v>
      </c>
      <c r="AX8" s="8" t="n">
        <f aca="false">ROUND((AU8+AV8/2+AW8/4)*10/12,0)</f>
        <v>3</v>
      </c>
      <c r="AY8" s="12" t="s">
        <v>19</v>
      </c>
      <c r="AZ8" s="12" t="s">
        <v>19</v>
      </c>
    </row>
    <row r="9" customFormat="false" ht="15.65" hidden="true" customHeight="false" outlineLevel="0" collapsed="false">
      <c r="A9" s="1" t="n">
        <v>7</v>
      </c>
      <c r="B9" s="3" t="s">
        <v>37</v>
      </c>
      <c r="C9" s="3" t="s">
        <v>38</v>
      </c>
      <c r="D9" s="3" t="s">
        <v>39</v>
      </c>
      <c r="E9" s="1" t="s">
        <v>18</v>
      </c>
      <c r="F9" s="1" t="s">
        <v>18</v>
      </c>
      <c r="H9" s="1" t="s">
        <v>19</v>
      </c>
      <c r="I9" s="1" t="s">
        <v>18</v>
      </c>
      <c r="J9" s="1" t="s">
        <v>18</v>
      </c>
      <c r="K9" s="1" t="s">
        <v>19</v>
      </c>
      <c r="M9" s="1" t="n">
        <f aca="false">COUNTIF(E9:K9,"P")</f>
        <v>4</v>
      </c>
      <c r="N9" s="1" t="n">
        <f aca="false">COUNTIF(E9:K9,"M")</f>
        <v>0</v>
      </c>
      <c r="O9" s="1" t="n">
        <f aca="false">COUNTIF(E9:K9,"T")</f>
        <v>0</v>
      </c>
      <c r="P9" s="1" t="n">
        <f aca="false">M9+N9/2+O9/4</f>
        <v>4</v>
      </c>
      <c r="Q9" s="8" t="n">
        <f aca="false">ROUND(P9*10/$S$2,0)</f>
        <v>7</v>
      </c>
      <c r="T9" s="1" t="s">
        <v>18</v>
      </c>
      <c r="V9" s="1" t="s">
        <v>18</v>
      </c>
      <c r="X9" s="1" t="s">
        <v>18</v>
      </c>
      <c r="Z9" s="1" t="s">
        <v>18</v>
      </c>
      <c r="AB9" s="1" t="s">
        <v>18</v>
      </c>
      <c r="AD9" s="3" t="s">
        <v>18</v>
      </c>
      <c r="AF9" s="1" t="s">
        <v>18</v>
      </c>
      <c r="AG9" s="3" t="s">
        <v>18</v>
      </c>
      <c r="AI9" s="3" t="s">
        <v>18</v>
      </c>
      <c r="AK9" s="3" t="s">
        <v>18</v>
      </c>
      <c r="AM9" s="3" t="s">
        <v>19</v>
      </c>
      <c r="AO9" s="3" t="s">
        <v>18</v>
      </c>
      <c r="AQ9" s="2" t="s">
        <v>18</v>
      </c>
      <c r="AS9" s="2" t="s">
        <v>18</v>
      </c>
      <c r="AT9" s="9" t="n">
        <v>0.604166666666667</v>
      </c>
      <c r="AU9" s="3" t="n">
        <f aca="false">COUNTIF(T9:AO9,"P")</f>
        <v>11</v>
      </c>
      <c r="AV9" s="3" t="n">
        <f aca="false">COUNTIF(T9:AO9,"M")</f>
        <v>0</v>
      </c>
      <c r="AW9" s="3" t="n">
        <f aca="false">COUNTIF(T9:AO9,"T")</f>
        <v>0</v>
      </c>
      <c r="AX9" s="8" t="n">
        <f aca="false">ROUND((AU9+AV9/2+AW9/4)*10/12,0)</f>
        <v>9</v>
      </c>
    </row>
    <row r="10" customFormat="false" ht="15.65" hidden="true" customHeight="false" outlineLevel="0" collapsed="false">
      <c r="A10" s="1" t="n">
        <v>8</v>
      </c>
      <c r="B10" s="3" t="s">
        <v>40</v>
      </c>
      <c r="C10" s="3" t="s">
        <v>41</v>
      </c>
      <c r="D10" s="3" t="s">
        <v>42</v>
      </c>
      <c r="E10" s="1" t="s">
        <v>18</v>
      </c>
      <c r="F10" s="1" t="s">
        <v>21</v>
      </c>
      <c r="G10" s="9" t="n">
        <v>0.555555555555556</v>
      </c>
      <c r="H10" s="1" t="s">
        <v>19</v>
      </c>
      <c r="I10" s="1" t="s">
        <v>18</v>
      </c>
      <c r="J10" s="1" t="s">
        <v>18</v>
      </c>
      <c r="K10" s="1" t="s">
        <v>18</v>
      </c>
      <c r="M10" s="1" t="n">
        <f aca="false">COUNTIF(E10:K10,"P")</f>
        <v>4</v>
      </c>
      <c r="N10" s="1" t="n">
        <f aca="false">COUNTIF(E10:K10,"M")</f>
        <v>1</v>
      </c>
      <c r="O10" s="1" t="n">
        <f aca="false">COUNTIF(E10:K10,"T")</f>
        <v>0</v>
      </c>
      <c r="P10" s="1" t="n">
        <f aca="false">M10+N10/2+O10/4</f>
        <v>4.5</v>
      </c>
      <c r="Q10" s="8" t="n">
        <f aca="false">ROUND(P10*10/$S$2,0)</f>
        <v>8</v>
      </c>
      <c r="T10" s="1" t="s">
        <v>18</v>
      </c>
      <c r="U10" s="9"/>
      <c r="V10" s="1" t="s">
        <v>18</v>
      </c>
      <c r="W10" s="9"/>
      <c r="X10" s="1" t="s">
        <v>20</v>
      </c>
      <c r="Y10" s="9" t="n">
        <v>0.5625</v>
      </c>
      <c r="Z10" s="1" t="s">
        <v>20</v>
      </c>
      <c r="AB10" s="1" t="s">
        <v>18</v>
      </c>
      <c r="AD10" s="3" t="s">
        <v>20</v>
      </c>
      <c r="AE10" s="9" t="n">
        <v>0.55</v>
      </c>
      <c r="AF10" s="1" t="s">
        <v>18</v>
      </c>
      <c r="AG10" s="3" t="s">
        <v>20</v>
      </c>
      <c r="AH10" s="9" t="n">
        <v>0.5625</v>
      </c>
      <c r="AI10" s="3" t="s">
        <v>20</v>
      </c>
      <c r="AJ10" s="9" t="n">
        <v>0.555555555555556</v>
      </c>
      <c r="AK10" s="3" t="s">
        <v>18</v>
      </c>
      <c r="AM10" s="3" t="s">
        <v>19</v>
      </c>
      <c r="AO10" s="3" t="s">
        <v>18</v>
      </c>
      <c r="AQ10" s="2" t="s">
        <v>18</v>
      </c>
      <c r="AS10" s="2" t="s">
        <v>18</v>
      </c>
      <c r="AU10" s="3" t="n">
        <f aca="false">COUNTIF(T10:AO10,"P")</f>
        <v>6</v>
      </c>
      <c r="AV10" s="3" t="n">
        <f aca="false">COUNTIF(T10:AO10,"M")</f>
        <v>0</v>
      </c>
      <c r="AW10" s="3" t="n">
        <f aca="false">COUNTIF(T10:AO10,"T")</f>
        <v>5</v>
      </c>
      <c r="AX10" s="8" t="n">
        <f aca="false">ROUND((AU10+AV10/2+AW10/4)*10/12,0)</f>
        <v>6</v>
      </c>
    </row>
    <row r="11" customFormat="false" ht="15.65" hidden="true" customHeight="false" outlineLevel="0" collapsed="false">
      <c r="A11" s="1" t="n">
        <v>9</v>
      </c>
      <c r="B11" s="3" t="s">
        <v>43</v>
      </c>
      <c r="C11" s="3" t="s">
        <v>44</v>
      </c>
      <c r="D11" s="3" t="s">
        <v>45</v>
      </c>
      <c r="E11" s="1" t="s">
        <v>18</v>
      </c>
      <c r="F11" s="1" t="s">
        <v>18</v>
      </c>
      <c r="H11" s="1" t="s">
        <v>18</v>
      </c>
      <c r="I11" s="1" t="s">
        <v>18</v>
      </c>
      <c r="J11" s="1" t="s">
        <v>18</v>
      </c>
      <c r="K11" s="1" t="s">
        <v>18</v>
      </c>
      <c r="M11" s="1" t="n">
        <f aca="false">COUNTIF(E11:K11,"P")</f>
        <v>6</v>
      </c>
      <c r="N11" s="1" t="n">
        <f aca="false">COUNTIF(E11:K11,"M")</f>
        <v>0</v>
      </c>
      <c r="O11" s="1" t="n">
        <f aca="false">COUNTIF(E11:K11,"T")</f>
        <v>0</v>
      </c>
      <c r="P11" s="1" t="n">
        <f aca="false">M11+N11/2+O11/4</f>
        <v>6</v>
      </c>
      <c r="Q11" s="8" t="n">
        <f aca="false">ROUND(P11*10/$S$2,0)</f>
        <v>10</v>
      </c>
      <c r="T11" s="1" t="s">
        <v>18</v>
      </c>
      <c r="V11" s="1" t="s">
        <v>18</v>
      </c>
      <c r="X11" s="1" t="s">
        <v>18</v>
      </c>
      <c r="Z11" s="1" t="s">
        <v>18</v>
      </c>
      <c r="AB11" s="1" t="s">
        <v>18</v>
      </c>
      <c r="AD11" s="3" t="s">
        <v>18</v>
      </c>
      <c r="AF11" s="1" t="s">
        <v>18</v>
      </c>
      <c r="AG11" s="3" t="s">
        <v>18</v>
      </c>
      <c r="AI11" s="3" t="s">
        <v>18</v>
      </c>
      <c r="AK11" s="3" t="s">
        <v>18</v>
      </c>
      <c r="AM11" s="3" t="s">
        <v>19</v>
      </c>
      <c r="AO11" s="3" t="s">
        <v>18</v>
      </c>
      <c r="AQ11" s="2" t="s">
        <v>18</v>
      </c>
      <c r="AS11" s="2" t="s">
        <v>18</v>
      </c>
      <c r="AU11" s="3" t="n">
        <f aca="false">COUNTIF(T11:AO11,"P")</f>
        <v>11</v>
      </c>
      <c r="AV11" s="3" t="n">
        <f aca="false">COUNTIF(T11:AO11,"M")</f>
        <v>0</v>
      </c>
      <c r="AW11" s="3" t="n">
        <f aca="false">COUNTIF(T11:AO11,"T")</f>
        <v>0</v>
      </c>
      <c r="AX11" s="8" t="n">
        <f aca="false">ROUND((AU11+AV11/2+AW11/4)*10/12,0)</f>
        <v>9</v>
      </c>
    </row>
    <row r="12" customFormat="false" ht="15.65" hidden="true" customHeight="false" outlineLevel="0" collapsed="false">
      <c r="A12" s="1" t="n">
        <v>10</v>
      </c>
      <c r="B12" s="3" t="s">
        <v>46</v>
      </c>
      <c r="C12" s="13" t="s">
        <v>47</v>
      </c>
      <c r="D12" s="3" t="s">
        <v>48</v>
      </c>
      <c r="E12" s="1" t="s">
        <v>18</v>
      </c>
      <c r="F12" s="1" t="s">
        <v>18</v>
      </c>
      <c r="H12" s="1" t="s">
        <v>19</v>
      </c>
      <c r="I12" s="1" t="s">
        <v>18</v>
      </c>
      <c r="J12" s="1" t="s">
        <v>18</v>
      </c>
      <c r="K12" s="1" t="s">
        <v>19</v>
      </c>
      <c r="M12" s="1" t="n">
        <f aca="false">COUNTIF(E12:K12,"P")</f>
        <v>4</v>
      </c>
      <c r="N12" s="1" t="n">
        <f aca="false">COUNTIF(E12:K12,"M")</f>
        <v>0</v>
      </c>
      <c r="O12" s="1" t="n">
        <f aca="false">COUNTIF(E12:K12,"T")</f>
        <v>0</v>
      </c>
      <c r="P12" s="1" t="n">
        <f aca="false">M12+N12/2+O12/4</f>
        <v>4</v>
      </c>
      <c r="Q12" s="8" t="n">
        <f aca="false">ROUND(P12*10/$S$2,0)</f>
        <v>7</v>
      </c>
      <c r="T12" s="1" t="s">
        <v>18</v>
      </c>
      <c r="V12" s="1" t="s">
        <v>18</v>
      </c>
      <c r="X12" s="1" t="s">
        <v>18</v>
      </c>
      <c r="Z12" s="1" t="s">
        <v>18</v>
      </c>
      <c r="AB12" s="1" t="s">
        <v>18</v>
      </c>
      <c r="AD12" s="3" t="s">
        <v>18</v>
      </c>
      <c r="AF12" s="1" t="s">
        <v>18</v>
      </c>
      <c r="AG12" s="3" t="s">
        <v>18</v>
      </c>
      <c r="AI12" s="3" t="s">
        <v>18</v>
      </c>
      <c r="AK12" s="3" t="s">
        <v>18</v>
      </c>
      <c r="AM12" s="3" t="s">
        <v>18</v>
      </c>
      <c r="AO12" s="3" t="s">
        <v>18</v>
      </c>
      <c r="AQ12" s="2" t="s">
        <v>19</v>
      </c>
      <c r="AS12" s="2" t="s">
        <v>19</v>
      </c>
      <c r="AU12" s="3" t="n">
        <f aca="false">COUNTIF(T12:AS12,"P")</f>
        <v>12</v>
      </c>
      <c r="AV12" s="3" t="n">
        <f aca="false">COUNTIF(T12:AS12,"M")</f>
        <v>0</v>
      </c>
      <c r="AW12" s="3" t="n">
        <f aca="false">COUNTIF(T12:AS12,"T")</f>
        <v>0</v>
      </c>
      <c r="AX12" s="8" t="n">
        <f aca="false">ROUND((AU12+AV12/2+AW12/4)*10/12,0)</f>
        <v>10</v>
      </c>
    </row>
    <row r="13" customFormat="false" ht="15.65" hidden="true" customHeight="false" outlineLevel="0" collapsed="false">
      <c r="A13" s="1" t="n">
        <v>11</v>
      </c>
      <c r="B13" s="3" t="s">
        <v>49</v>
      </c>
      <c r="C13" s="3" t="s">
        <v>50</v>
      </c>
      <c r="D13" s="3" t="s">
        <v>51</v>
      </c>
      <c r="E13" s="1" t="s">
        <v>18</v>
      </c>
      <c r="F13" s="1" t="s">
        <v>18</v>
      </c>
      <c r="H13" s="1" t="s">
        <v>19</v>
      </c>
      <c r="I13" s="1" t="s">
        <v>18</v>
      </c>
      <c r="J13" s="1" t="s">
        <v>18</v>
      </c>
      <c r="K13" s="1" t="s">
        <v>20</v>
      </c>
      <c r="L13" s="9" t="n">
        <v>0.614583333333333</v>
      </c>
      <c r="M13" s="1" t="n">
        <f aca="false">COUNTIF(E13:K13,"P")</f>
        <v>4</v>
      </c>
      <c r="N13" s="1" t="n">
        <f aca="false">COUNTIF(E13:K13,"M")</f>
        <v>0</v>
      </c>
      <c r="O13" s="1" t="n">
        <f aca="false">COUNTIF(E13:K13,"T")</f>
        <v>1</v>
      </c>
      <c r="P13" s="1" t="n">
        <f aca="false">M13+N13/2+O13/4</f>
        <v>4.25</v>
      </c>
      <c r="Q13" s="8" t="n">
        <f aca="false">ROUND(P13*10/$S$2,0)</f>
        <v>7</v>
      </c>
      <c r="R13" s="9"/>
      <c r="S13" s="9"/>
      <c r="T13" s="1" t="s">
        <v>18</v>
      </c>
      <c r="V13" s="1" t="s">
        <v>18</v>
      </c>
      <c r="X13" s="1" t="s">
        <v>18</v>
      </c>
      <c r="Z13" s="1" t="s">
        <v>18</v>
      </c>
      <c r="AB13" s="1" t="s">
        <v>18</v>
      </c>
      <c r="AD13" s="3" t="s">
        <v>18</v>
      </c>
      <c r="AF13" s="1" t="s">
        <v>18</v>
      </c>
      <c r="AG13" s="3" t="s">
        <v>19</v>
      </c>
      <c r="AI13" s="3" t="s">
        <v>20</v>
      </c>
      <c r="AJ13" s="9" t="n">
        <v>0.555555555555556</v>
      </c>
      <c r="AK13" s="3" t="s">
        <v>18</v>
      </c>
      <c r="AM13" s="3" t="s">
        <v>19</v>
      </c>
      <c r="AO13" s="3" t="s">
        <v>18</v>
      </c>
      <c r="AQ13" s="2" t="s">
        <v>18</v>
      </c>
      <c r="AS13" s="2" t="s">
        <v>19</v>
      </c>
      <c r="AU13" s="3" t="n">
        <f aca="false">COUNTIF(T13:AO13,"P")</f>
        <v>9</v>
      </c>
      <c r="AV13" s="3" t="n">
        <f aca="false">COUNTIF(T13:AO13,"M")</f>
        <v>0</v>
      </c>
      <c r="AW13" s="3" t="n">
        <f aca="false">COUNTIF(T13:AO13,"T")</f>
        <v>1</v>
      </c>
      <c r="AX13" s="8" t="n">
        <f aca="false">ROUND((AU13+AV13/2+AW13/4)*10/12,0)</f>
        <v>8</v>
      </c>
    </row>
    <row r="14" customFormat="false" ht="15.65" hidden="true" customHeight="false" outlineLevel="0" collapsed="false">
      <c r="A14" s="1" t="n">
        <v>12</v>
      </c>
      <c r="B14" s="3" t="s">
        <v>52</v>
      </c>
      <c r="C14" s="3" t="s">
        <v>53</v>
      </c>
      <c r="D14" s="3" t="s">
        <v>54</v>
      </c>
      <c r="E14" s="1" t="s">
        <v>18</v>
      </c>
      <c r="F14" s="1" t="s">
        <v>21</v>
      </c>
      <c r="G14" s="9" t="n">
        <v>0.555555555555556</v>
      </c>
      <c r="H14" s="1" t="s">
        <v>19</v>
      </c>
      <c r="I14" s="1" t="s">
        <v>18</v>
      </c>
      <c r="J14" s="1" t="s">
        <v>18</v>
      </c>
      <c r="K14" s="1" t="s">
        <v>21</v>
      </c>
      <c r="L14" s="9" t="n">
        <v>0.555555555555556</v>
      </c>
      <c r="M14" s="1" t="n">
        <f aca="false">COUNTIF(E14:K14,"P")</f>
        <v>3</v>
      </c>
      <c r="N14" s="1" t="n">
        <f aca="false">COUNTIF(E14:K14,"M")</f>
        <v>2</v>
      </c>
      <c r="O14" s="1" t="n">
        <f aca="false">COUNTIF(E14:K14,"T")</f>
        <v>0</v>
      </c>
      <c r="P14" s="1" t="n">
        <f aca="false">M14+N14/2+O14/4</f>
        <v>4</v>
      </c>
      <c r="Q14" s="8" t="n">
        <f aca="false">ROUND(P14*10/$S$2,0)</f>
        <v>7</v>
      </c>
      <c r="R14" s="9"/>
      <c r="S14" s="9"/>
      <c r="T14" s="1" t="s">
        <v>19</v>
      </c>
      <c r="V14" s="1" t="s">
        <v>20</v>
      </c>
      <c r="W14" s="9" t="n">
        <v>0.5625</v>
      </c>
      <c r="X14" s="1" t="s">
        <v>19</v>
      </c>
      <c r="Z14" s="1" t="s">
        <v>20</v>
      </c>
      <c r="AA14" s="9" t="n">
        <v>0.569444444444444</v>
      </c>
      <c r="AB14" s="1" t="s">
        <v>19</v>
      </c>
      <c r="AD14" s="3" t="s">
        <v>19</v>
      </c>
      <c r="AF14" s="1" t="s">
        <v>18</v>
      </c>
      <c r="AG14" s="3" t="s">
        <v>20</v>
      </c>
      <c r="AH14" s="9" t="n">
        <v>0.548611111111111</v>
      </c>
      <c r="AI14" s="3" t="s">
        <v>19</v>
      </c>
      <c r="AK14" s="3" t="s">
        <v>20</v>
      </c>
      <c r="AL14" s="9" t="n">
        <v>0.583333333333333</v>
      </c>
      <c r="AM14" s="3" t="s">
        <v>18</v>
      </c>
      <c r="AN14" s="9" t="n">
        <v>0.576388888888889</v>
      </c>
      <c r="AO14" s="3" t="s">
        <v>20</v>
      </c>
      <c r="AP14" s="9" t="n">
        <v>0.555555555555556</v>
      </c>
      <c r="AQ14" s="2" t="s">
        <v>20</v>
      </c>
      <c r="AR14" s="10" t="n">
        <v>0.597222222222222</v>
      </c>
      <c r="AS14" s="2" t="s">
        <v>20</v>
      </c>
      <c r="AU14" s="3" t="n">
        <f aca="false">COUNTIF(T14:AO14,"P")</f>
        <v>2</v>
      </c>
      <c r="AV14" s="3" t="n">
        <f aca="false">COUNTIF(T14:AO14,"M")</f>
        <v>0</v>
      </c>
      <c r="AW14" s="3" t="n">
        <f aca="false">COUNTIF(T14:AO14,"T")</f>
        <v>5</v>
      </c>
      <c r="AX14" s="8" t="n">
        <f aca="false">ROUND((AU14+AV14/2+AW14/4)*10/12,0)</f>
        <v>3</v>
      </c>
    </row>
    <row r="15" customFormat="false" ht="15.65" hidden="true" customHeight="false" outlineLevel="0" collapsed="false">
      <c r="A15" s="1" t="n">
        <v>13</v>
      </c>
      <c r="B15" s="3" t="s">
        <v>55</v>
      </c>
      <c r="C15" s="3" t="s">
        <v>56</v>
      </c>
      <c r="D15" s="3" t="s">
        <v>57</v>
      </c>
      <c r="E15" s="1" t="s">
        <v>18</v>
      </c>
      <c r="F15" s="1" t="s">
        <v>18</v>
      </c>
      <c r="H15" s="14" t="s">
        <v>18</v>
      </c>
      <c r="I15" s="1" t="s">
        <v>18</v>
      </c>
      <c r="J15" s="1" t="s">
        <v>18</v>
      </c>
      <c r="K15" s="1" t="s">
        <v>18</v>
      </c>
      <c r="M15" s="1" t="n">
        <f aca="false">COUNTIF(E15:K15,"P")</f>
        <v>6</v>
      </c>
      <c r="N15" s="1" t="n">
        <f aca="false">COUNTIF(E15:K15,"M")</f>
        <v>0</v>
      </c>
      <c r="O15" s="1" t="n">
        <f aca="false">COUNTIF(E15:K15,"T")</f>
        <v>0</v>
      </c>
      <c r="P15" s="1" t="n">
        <f aca="false">M15+N15/2+O15/4</f>
        <v>6</v>
      </c>
      <c r="Q15" s="15" t="n">
        <f aca="false">ROUND(P15*10/$S$2,0)</f>
        <v>10</v>
      </c>
      <c r="R15" s="9" t="s">
        <v>58</v>
      </c>
      <c r="T15" s="1" t="s">
        <v>18</v>
      </c>
      <c r="V15" s="1" t="s">
        <v>20</v>
      </c>
      <c r="W15" s="9" t="n">
        <v>0.597222222222222</v>
      </c>
      <c r="X15" s="1" t="s">
        <v>21</v>
      </c>
      <c r="Y15" s="9" t="n">
        <v>0.541666666666667</v>
      </c>
      <c r="Z15" s="1" t="s">
        <v>18</v>
      </c>
      <c r="AB15" s="1" t="s">
        <v>18</v>
      </c>
      <c r="AD15" s="3" t="s">
        <v>18</v>
      </c>
      <c r="AF15" s="1" t="s">
        <v>19</v>
      </c>
      <c r="AG15" s="3" t="s">
        <v>18</v>
      </c>
      <c r="AI15" s="3" t="s">
        <v>18</v>
      </c>
      <c r="AK15" s="3" t="s">
        <v>18</v>
      </c>
      <c r="AM15" s="3" t="s">
        <v>19</v>
      </c>
      <c r="AO15" s="3" t="s">
        <v>18</v>
      </c>
      <c r="AQ15" s="2" t="s">
        <v>18</v>
      </c>
      <c r="AS15" s="2" t="s">
        <v>18</v>
      </c>
      <c r="AU15" s="3" t="n">
        <f aca="false">COUNTIF(T15:AO15,"P")</f>
        <v>8</v>
      </c>
      <c r="AV15" s="3" t="n">
        <f aca="false">COUNTIF(T15:AO15,"M")</f>
        <v>1</v>
      </c>
      <c r="AW15" s="3" t="n">
        <f aca="false">COUNTIF(T15:AO15,"T")</f>
        <v>1</v>
      </c>
      <c r="AX15" s="8" t="n">
        <f aca="false">ROUND((AU15+AV15/2+AW15/4)*10/12,0)</f>
        <v>7</v>
      </c>
    </row>
    <row r="16" customFormat="false" ht="15.65" hidden="true" customHeight="false" outlineLevel="0" collapsed="false">
      <c r="A16" s="1" t="n">
        <v>14</v>
      </c>
      <c r="B16" s="3" t="s">
        <v>59</v>
      </c>
      <c r="C16" s="3" t="s">
        <v>60</v>
      </c>
      <c r="D16" s="3" t="s">
        <v>61</v>
      </c>
      <c r="E16" s="1" t="s">
        <v>18</v>
      </c>
      <c r="F16" s="1" t="s">
        <v>18</v>
      </c>
      <c r="H16" s="1" t="s">
        <v>19</v>
      </c>
      <c r="I16" s="1" t="s">
        <v>18</v>
      </c>
      <c r="J16" s="1" t="s">
        <v>18</v>
      </c>
      <c r="K16" s="1" t="s">
        <v>18</v>
      </c>
      <c r="M16" s="1" t="n">
        <f aca="false">COUNTIF(E16:K16,"P")</f>
        <v>5</v>
      </c>
      <c r="N16" s="1" t="n">
        <f aca="false">COUNTIF(E16:K16,"M")</f>
        <v>0</v>
      </c>
      <c r="O16" s="1" t="n">
        <f aca="false">COUNTIF(E16:K16,"T")</f>
        <v>0</v>
      </c>
      <c r="P16" s="1" t="n">
        <f aca="false">M16+N16/2+O16/4</f>
        <v>5</v>
      </c>
      <c r="Q16" s="8" t="n">
        <f aca="false">ROUND(P16*10/$S$2,0)</f>
        <v>8</v>
      </c>
      <c r="T16" s="1" t="s">
        <v>18</v>
      </c>
      <c r="V16" s="1" t="s">
        <v>18</v>
      </c>
      <c r="X16" s="1" t="s">
        <v>18</v>
      </c>
      <c r="Z16" s="1" t="s">
        <v>18</v>
      </c>
      <c r="AB16" s="1" t="s">
        <v>18</v>
      </c>
      <c r="AD16" s="3" t="s">
        <v>18</v>
      </c>
      <c r="AF16" s="1" t="s">
        <v>18</v>
      </c>
      <c r="AG16" s="3" t="s">
        <v>18</v>
      </c>
      <c r="AI16" s="3" t="s">
        <v>18</v>
      </c>
      <c r="AK16" s="3" t="s">
        <v>18</v>
      </c>
      <c r="AM16" s="3" t="s">
        <v>19</v>
      </c>
      <c r="AO16" s="3" t="s">
        <v>18</v>
      </c>
      <c r="AQ16" s="2" t="s">
        <v>19</v>
      </c>
      <c r="AS16" s="2" t="s">
        <v>18</v>
      </c>
      <c r="AU16" s="3" t="n">
        <f aca="false">COUNTIF(T16:AO16,"P")</f>
        <v>11</v>
      </c>
      <c r="AV16" s="3" t="n">
        <f aca="false">COUNTIF(T16:AO16,"M")</f>
        <v>0</v>
      </c>
      <c r="AW16" s="3" t="n">
        <f aca="false">COUNTIF(T16:AO16,"T")</f>
        <v>0</v>
      </c>
      <c r="AX16" s="8" t="n">
        <f aca="false">ROUND((AU16+AV16/2+AW16/4)*10/12,0)</f>
        <v>9</v>
      </c>
    </row>
    <row r="17" customFormat="false" ht="15.65" hidden="true" customHeight="false" outlineLevel="0" collapsed="false">
      <c r="A17" s="1" t="n">
        <v>15</v>
      </c>
      <c r="B17" s="3" t="s">
        <v>62</v>
      </c>
      <c r="C17" s="13" t="s">
        <v>63</v>
      </c>
      <c r="D17" s="3" t="s">
        <v>64</v>
      </c>
      <c r="E17" s="1" t="s">
        <v>18</v>
      </c>
      <c r="F17" s="1" t="s">
        <v>19</v>
      </c>
      <c r="H17" s="1" t="s">
        <v>19</v>
      </c>
      <c r="I17" s="1" t="s">
        <v>19</v>
      </c>
      <c r="J17" s="1" t="s">
        <v>18</v>
      </c>
      <c r="K17" s="1" t="s">
        <v>18</v>
      </c>
      <c r="M17" s="1" t="n">
        <f aca="false">COUNTIF(E17:K17,"P")</f>
        <v>3</v>
      </c>
      <c r="N17" s="1" t="n">
        <f aca="false">COUNTIF(E17:K17,"M")</f>
        <v>0</v>
      </c>
      <c r="O17" s="1" t="n">
        <f aca="false">COUNTIF(E17:K17,"T")</f>
        <v>0</v>
      </c>
      <c r="P17" s="1" t="n">
        <f aca="false">M17+N17/2+O17/4</f>
        <v>3</v>
      </c>
      <c r="Q17" s="8" t="n">
        <f aca="false">ROUND(P17*10/$S$2,0)</f>
        <v>5</v>
      </c>
      <c r="T17" s="1" t="s">
        <v>18</v>
      </c>
      <c r="V17" s="1" t="s">
        <v>19</v>
      </c>
      <c r="X17" s="1" t="s">
        <v>18</v>
      </c>
      <c r="Z17" s="1" t="s">
        <v>18</v>
      </c>
      <c r="AB17" s="1" t="s">
        <v>18</v>
      </c>
      <c r="AD17" s="3" t="s">
        <v>18</v>
      </c>
      <c r="AF17" s="1" t="s">
        <v>18</v>
      </c>
      <c r="AG17" s="3" t="s">
        <v>18</v>
      </c>
      <c r="AI17" s="3" t="s">
        <v>18</v>
      </c>
      <c r="AK17" s="3" t="s">
        <v>19</v>
      </c>
      <c r="AM17" s="3" t="s">
        <v>19</v>
      </c>
      <c r="AO17" s="3" t="s">
        <v>20</v>
      </c>
      <c r="AP17" s="9" t="n">
        <v>0.555555555555556</v>
      </c>
      <c r="AQ17" s="2" t="s">
        <v>19</v>
      </c>
      <c r="AS17" s="2" t="s">
        <v>18</v>
      </c>
      <c r="AU17" s="3" t="n">
        <f aca="false">COUNTIF(T17:AS17,"P")</f>
        <v>9</v>
      </c>
      <c r="AV17" s="3" t="n">
        <f aca="false">COUNTIF(T17:AS17,"M")</f>
        <v>0</v>
      </c>
      <c r="AW17" s="3" t="n">
        <f aca="false">COUNTIF(T17:AS17,"T")</f>
        <v>1</v>
      </c>
      <c r="AX17" s="8" t="n">
        <f aca="false">ROUND((AU17+AV17/2+AW17/4)*10/12,0)</f>
        <v>8</v>
      </c>
    </row>
    <row r="18" customFormat="false" ht="15.65" hidden="false" customHeight="false" outlineLevel="0" collapsed="false">
      <c r="A18" s="1" t="n">
        <v>16</v>
      </c>
      <c r="B18" s="3" t="s">
        <v>65</v>
      </c>
      <c r="C18" s="11" t="s">
        <v>66</v>
      </c>
      <c r="D18" s="3" t="s">
        <v>67</v>
      </c>
      <c r="E18" s="1" t="s">
        <v>18</v>
      </c>
      <c r="F18" s="1" t="s">
        <v>18</v>
      </c>
      <c r="H18" s="1" t="s">
        <v>19</v>
      </c>
      <c r="I18" s="1" t="s">
        <v>18</v>
      </c>
      <c r="J18" s="1" t="s">
        <v>18</v>
      </c>
      <c r="K18" s="1" t="s">
        <v>18</v>
      </c>
      <c r="M18" s="1" t="n">
        <f aca="false">COUNTIF(E18:K18,"P")</f>
        <v>5</v>
      </c>
      <c r="N18" s="1" t="n">
        <f aca="false">COUNTIF(E18:K18,"M")</f>
        <v>0</v>
      </c>
      <c r="O18" s="1" t="n">
        <f aca="false">COUNTIF(E18:K18,"T")</f>
        <v>0</v>
      </c>
      <c r="P18" s="1" t="n">
        <f aca="false">M18+N18/2+O18/4</f>
        <v>5</v>
      </c>
      <c r="Q18" s="8" t="n">
        <f aca="false">ROUND(P18*10/$S$2,0)</f>
        <v>8</v>
      </c>
      <c r="T18" s="1" t="s">
        <v>18</v>
      </c>
      <c r="V18" s="1" t="s">
        <v>21</v>
      </c>
      <c r="W18" s="9" t="n">
        <v>0.548611111111111</v>
      </c>
      <c r="X18" s="1" t="s">
        <v>21</v>
      </c>
      <c r="Y18" s="9" t="n">
        <v>0.541666666666667</v>
      </c>
      <c r="Z18" s="1" t="s">
        <v>18</v>
      </c>
      <c r="AB18" s="1" t="s">
        <v>18</v>
      </c>
      <c r="AD18" s="3" t="s">
        <v>20</v>
      </c>
      <c r="AE18" s="9" t="n">
        <v>0.569444444444444</v>
      </c>
      <c r="AF18" s="1" t="s">
        <v>18</v>
      </c>
      <c r="AG18" s="3" t="s">
        <v>18</v>
      </c>
      <c r="AI18" s="3" t="s">
        <v>18</v>
      </c>
      <c r="AK18" s="3" t="s">
        <v>18</v>
      </c>
      <c r="AM18" s="3" t="s">
        <v>19</v>
      </c>
      <c r="AO18" s="3" t="s">
        <v>20</v>
      </c>
      <c r="AP18" s="9" t="n">
        <v>0.555555555555556</v>
      </c>
      <c r="AQ18" s="2" t="s">
        <v>19</v>
      </c>
      <c r="AS18" s="2" t="s">
        <v>20</v>
      </c>
      <c r="AT18" s="9" t="n">
        <v>0.576388888888889</v>
      </c>
      <c r="AU18" s="3" t="n">
        <f aca="false">COUNTIF(T18:AS18,"P")</f>
        <v>7</v>
      </c>
      <c r="AV18" s="3" t="n">
        <f aca="false">COUNTIF(T18:AS18,"M")</f>
        <v>2</v>
      </c>
      <c r="AW18" s="3" t="n">
        <f aca="false">COUNTIF(T18:AS18,"T")</f>
        <v>3</v>
      </c>
      <c r="AX18" s="8" t="n">
        <f aca="false">ROUND((AU18+AV18/2+AW18/4)*10/12,0)</f>
        <v>7</v>
      </c>
      <c r="AY18" s="12" t="s">
        <v>19</v>
      </c>
      <c r="AZ18" s="12" t="s">
        <v>19</v>
      </c>
    </row>
    <row r="19" customFormat="false" ht="15.65" hidden="true" customHeight="false" outlineLevel="0" collapsed="false">
      <c r="A19" s="1" t="n">
        <v>17</v>
      </c>
      <c r="B19" s="3" t="s">
        <v>68</v>
      </c>
      <c r="C19" s="3" t="s">
        <v>69</v>
      </c>
      <c r="D19" s="3" t="s">
        <v>70</v>
      </c>
      <c r="E19" s="1" t="s">
        <v>19</v>
      </c>
      <c r="F19" s="1" t="s">
        <v>18</v>
      </c>
      <c r="H19" s="1" t="s">
        <v>19</v>
      </c>
      <c r="I19" s="1" t="s">
        <v>18</v>
      </c>
      <c r="J19" s="1" t="s">
        <v>19</v>
      </c>
      <c r="K19" s="1" t="s">
        <v>18</v>
      </c>
      <c r="M19" s="1" t="n">
        <f aca="false">COUNTIF(E19:K19,"P")</f>
        <v>3</v>
      </c>
      <c r="N19" s="1" t="n">
        <f aca="false">COUNTIF(E19:K19,"M")</f>
        <v>0</v>
      </c>
      <c r="O19" s="1" t="n">
        <f aca="false">COUNTIF(E19:K19,"T")</f>
        <v>0</v>
      </c>
      <c r="P19" s="1" t="n">
        <f aca="false">M19+N19/2+O19/4</f>
        <v>3</v>
      </c>
      <c r="Q19" s="8" t="n">
        <f aca="false">ROUND(P19*10/$S$2,0)</f>
        <v>5</v>
      </c>
      <c r="T19" s="1" t="s">
        <v>20</v>
      </c>
      <c r="U19" s="9" t="n">
        <v>0.611111111111111</v>
      </c>
      <c r="V19" s="1" t="s">
        <v>18</v>
      </c>
      <c r="X19" s="1" t="s">
        <v>18</v>
      </c>
      <c r="Z19" s="1" t="s">
        <v>20</v>
      </c>
      <c r="AA19" s="9" t="n">
        <v>0.569444444444444</v>
      </c>
      <c r="AB19" s="1" t="s">
        <v>18</v>
      </c>
      <c r="AD19" s="3" t="s">
        <v>18</v>
      </c>
      <c r="AF19" s="1" t="s">
        <v>18</v>
      </c>
      <c r="AG19" s="3" t="s">
        <v>18</v>
      </c>
      <c r="AI19" s="3" t="s">
        <v>18</v>
      </c>
      <c r="AK19" s="3" t="s">
        <v>18</v>
      </c>
      <c r="AM19" s="3" t="s">
        <v>19</v>
      </c>
      <c r="AO19" s="3" t="s">
        <v>20</v>
      </c>
      <c r="AP19" s="9" t="n">
        <v>0.555555555555556</v>
      </c>
      <c r="AQ19" s="2" t="s">
        <v>18</v>
      </c>
      <c r="AS19" s="2" t="s">
        <v>18</v>
      </c>
      <c r="AU19" s="3" t="n">
        <f aca="false">COUNTIF(T19:AO19,"P")</f>
        <v>8</v>
      </c>
      <c r="AV19" s="3" t="n">
        <f aca="false">COUNTIF(T19:AO19,"M")</f>
        <v>0</v>
      </c>
      <c r="AW19" s="3" t="n">
        <f aca="false">COUNTIF(T19:AO19,"T")</f>
        <v>3</v>
      </c>
      <c r="AX19" s="8" t="n">
        <f aca="false">ROUND((AU19+AV19/2+AW19/4)*10/12,0)</f>
        <v>7</v>
      </c>
    </row>
    <row r="20" customFormat="false" ht="15.65" hidden="true" customHeight="false" outlineLevel="0" collapsed="false">
      <c r="A20" s="1" t="n">
        <v>18</v>
      </c>
      <c r="B20" s="3" t="s">
        <v>71</v>
      </c>
      <c r="C20" s="3" t="s">
        <v>72</v>
      </c>
      <c r="D20" s="3" t="s">
        <v>73</v>
      </c>
      <c r="E20" s="1" t="s">
        <v>18</v>
      </c>
      <c r="F20" s="1" t="s">
        <v>19</v>
      </c>
      <c r="H20" s="1" t="s">
        <v>19</v>
      </c>
      <c r="I20" s="1" t="s">
        <v>18</v>
      </c>
      <c r="J20" s="1" t="s">
        <v>18</v>
      </c>
      <c r="K20" s="1" t="s">
        <v>21</v>
      </c>
      <c r="L20" s="9" t="n">
        <v>0.555555555555556</v>
      </c>
      <c r="M20" s="1" t="n">
        <f aca="false">COUNTIF(E20:K20,"P")</f>
        <v>3</v>
      </c>
      <c r="N20" s="1" t="n">
        <f aca="false">COUNTIF(E20:K20,"M")</f>
        <v>1</v>
      </c>
      <c r="O20" s="1" t="n">
        <f aca="false">COUNTIF(E20:K20,"T")</f>
        <v>0</v>
      </c>
      <c r="P20" s="1" t="n">
        <f aca="false">M20+N20/2+O20/4</f>
        <v>3.5</v>
      </c>
      <c r="Q20" s="8" t="n">
        <f aca="false">ROUND(P20*10/$S$2,0)</f>
        <v>6</v>
      </c>
      <c r="R20" s="9"/>
      <c r="S20" s="9"/>
      <c r="T20" s="1" t="s">
        <v>18</v>
      </c>
      <c r="V20" s="1" t="s">
        <v>20</v>
      </c>
      <c r="W20" s="9" t="n">
        <v>0.5625</v>
      </c>
      <c r="X20" s="1" t="s">
        <v>18</v>
      </c>
      <c r="Z20" s="1" t="s">
        <v>18</v>
      </c>
      <c r="AB20" s="1" t="s">
        <v>18</v>
      </c>
      <c r="AD20" s="3" t="s">
        <v>18</v>
      </c>
      <c r="AF20" s="1" t="s">
        <v>18</v>
      </c>
      <c r="AG20" s="3" t="s">
        <v>20</v>
      </c>
      <c r="AH20" s="9" t="n">
        <v>0.555555555555556</v>
      </c>
      <c r="AI20" s="3" t="s">
        <v>18</v>
      </c>
      <c r="AK20" s="3" t="s">
        <v>18</v>
      </c>
      <c r="AM20" s="3" t="s">
        <v>18</v>
      </c>
      <c r="AO20" s="3" t="s">
        <v>18</v>
      </c>
      <c r="AQ20" s="2" t="s">
        <v>18</v>
      </c>
      <c r="AS20" s="2" t="s">
        <v>18</v>
      </c>
      <c r="AU20" s="3" t="n">
        <f aca="false">COUNTIF(T20:AO20,"P")</f>
        <v>10</v>
      </c>
      <c r="AV20" s="3" t="n">
        <f aca="false">COUNTIF(T20:AO20,"M")</f>
        <v>0</v>
      </c>
      <c r="AW20" s="3" t="n">
        <f aca="false">COUNTIF(T20:AO20,"T")</f>
        <v>2</v>
      </c>
      <c r="AX20" s="8" t="n">
        <f aca="false">ROUND((AU20+AV20/2+AW20/4)*10/12,0)</f>
        <v>9</v>
      </c>
    </row>
    <row r="21" customFormat="false" ht="15.65" hidden="true" customHeight="false" outlineLevel="0" collapsed="false">
      <c r="A21" s="1" t="n">
        <v>19</v>
      </c>
      <c r="B21" s="3" t="s">
        <v>74</v>
      </c>
      <c r="C21" s="3" t="s">
        <v>75</v>
      </c>
      <c r="D21" s="3" t="s">
        <v>76</v>
      </c>
      <c r="E21" s="1" t="s">
        <v>18</v>
      </c>
      <c r="F21" s="1" t="s">
        <v>18</v>
      </c>
      <c r="H21" s="1" t="s">
        <v>18</v>
      </c>
      <c r="I21" s="1" t="s">
        <v>18</v>
      </c>
      <c r="J21" s="1" t="s">
        <v>18</v>
      </c>
      <c r="K21" s="1" t="s">
        <v>18</v>
      </c>
      <c r="M21" s="1" t="n">
        <f aca="false">COUNTIF(E21:K21,"P")</f>
        <v>6</v>
      </c>
      <c r="N21" s="1" t="n">
        <f aca="false">COUNTIF(E21:K21,"M")</f>
        <v>0</v>
      </c>
      <c r="O21" s="1" t="n">
        <f aca="false">COUNTIF(E21:K21,"T")</f>
        <v>0</v>
      </c>
      <c r="P21" s="1" t="n">
        <f aca="false">M21+N21/2+O21/4</f>
        <v>6</v>
      </c>
      <c r="Q21" s="8" t="n">
        <f aca="false">ROUND(P21*10/$S$2,0)</f>
        <v>10</v>
      </c>
      <c r="T21" s="1" t="s">
        <v>18</v>
      </c>
      <c r="V21" s="1" t="s">
        <v>18</v>
      </c>
      <c r="W21" s="9"/>
      <c r="X21" s="1" t="s">
        <v>18</v>
      </c>
      <c r="Z21" s="1" t="s">
        <v>18</v>
      </c>
      <c r="AB21" s="1" t="s">
        <v>18</v>
      </c>
      <c r="AD21" s="3" t="s">
        <v>18</v>
      </c>
      <c r="AF21" s="1" t="s">
        <v>18</v>
      </c>
      <c r="AG21" s="3" t="s">
        <v>18</v>
      </c>
      <c r="AI21" s="3" t="s">
        <v>18</v>
      </c>
      <c r="AK21" s="3" t="s">
        <v>18</v>
      </c>
      <c r="AM21" s="3" t="s">
        <v>18</v>
      </c>
      <c r="AO21" s="3" t="s">
        <v>18</v>
      </c>
      <c r="AQ21" s="2" t="s">
        <v>18</v>
      </c>
      <c r="AS21" s="2" t="s">
        <v>19</v>
      </c>
      <c r="AU21" s="3" t="n">
        <f aca="false">COUNTIF(T21:AO21,"P")</f>
        <v>12</v>
      </c>
      <c r="AV21" s="3" t="n">
        <f aca="false">COUNTIF(T21:AO21,"M")</f>
        <v>0</v>
      </c>
      <c r="AW21" s="3" t="n">
        <f aca="false">COUNTIF(T21:AO21,"T")</f>
        <v>0</v>
      </c>
      <c r="AX21" s="8" t="n">
        <f aca="false">ROUND((AU21+AV21/2+AW21/4)*10/12,0)</f>
        <v>10</v>
      </c>
    </row>
    <row r="22" customFormat="false" ht="15.65" hidden="false" customHeight="false" outlineLevel="0" collapsed="false">
      <c r="A22" s="1" t="n">
        <v>20</v>
      </c>
      <c r="B22" s="3" t="s">
        <v>77</v>
      </c>
      <c r="C22" s="11" t="s">
        <v>78</v>
      </c>
      <c r="D22" s="3" t="s">
        <v>79</v>
      </c>
      <c r="E22" s="1" t="s">
        <v>18</v>
      </c>
      <c r="F22" s="1" t="s">
        <v>19</v>
      </c>
      <c r="H22" s="1" t="s">
        <v>19</v>
      </c>
      <c r="I22" s="1" t="s">
        <v>18</v>
      </c>
      <c r="J22" s="1" t="s">
        <v>18</v>
      </c>
      <c r="K22" s="1" t="s">
        <v>21</v>
      </c>
      <c r="L22" s="9" t="n">
        <v>0.555555555555556</v>
      </c>
      <c r="M22" s="1" t="n">
        <f aca="false">COUNTIF(E22:K22,"P")</f>
        <v>3</v>
      </c>
      <c r="N22" s="1" t="n">
        <f aca="false">COUNTIF(E22:K22,"M")</f>
        <v>1</v>
      </c>
      <c r="O22" s="1" t="n">
        <f aca="false">COUNTIF(E22:K22,"T")</f>
        <v>0</v>
      </c>
      <c r="P22" s="1" t="n">
        <f aca="false">M22+N22/2+O22/4</f>
        <v>3.5</v>
      </c>
      <c r="Q22" s="8" t="n">
        <f aca="false">ROUND(P22*10/$S$2,0)</f>
        <v>6</v>
      </c>
      <c r="R22" s="9"/>
      <c r="S22" s="9"/>
      <c r="T22" s="1" t="s">
        <v>18</v>
      </c>
      <c r="V22" s="1" t="s">
        <v>20</v>
      </c>
      <c r="W22" s="9" t="n">
        <v>0.5625</v>
      </c>
      <c r="X22" s="1" t="s">
        <v>20</v>
      </c>
      <c r="Y22" s="9" t="n">
        <v>0.5625</v>
      </c>
      <c r="Z22" s="1" t="s">
        <v>20</v>
      </c>
      <c r="AB22" s="1" t="s">
        <v>19</v>
      </c>
      <c r="AD22" s="3" t="s">
        <v>19</v>
      </c>
      <c r="AF22" s="1" t="s">
        <v>18</v>
      </c>
      <c r="AG22" s="3" t="s">
        <v>19</v>
      </c>
      <c r="AI22" s="3" t="s">
        <v>19</v>
      </c>
      <c r="AK22" s="3" t="s">
        <v>20</v>
      </c>
      <c r="AL22" s="9" t="n">
        <v>0.583333333333333</v>
      </c>
      <c r="AM22" s="3" t="s">
        <v>18</v>
      </c>
      <c r="AO22" s="3" t="s">
        <v>19</v>
      </c>
      <c r="AQ22" s="2" t="s">
        <v>18</v>
      </c>
      <c r="AS22" s="2" t="s">
        <v>19</v>
      </c>
      <c r="AU22" s="3" t="n">
        <f aca="false">COUNTIF(T22:AO22,"P")</f>
        <v>3</v>
      </c>
      <c r="AV22" s="3" t="n">
        <f aca="false">COUNTIF(T22:AO22,"M")</f>
        <v>0</v>
      </c>
      <c r="AW22" s="3" t="n">
        <f aca="false">COUNTIF(T22:AO22,"T")</f>
        <v>4</v>
      </c>
      <c r="AX22" s="8" t="n">
        <f aca="false">ROUND((AU22+AV22/2+AW22/4)*10/12,0)</f>
        <v>3</v>
      </c>
      <c r="AY22" s="12" t="s">
        <v>19</v>
      </c>
      <c r="AZ22" s="12" t="s">
        <v>19</v>
      </c>
    </row>
    <row r="23" customFormat="false" ht="15.65" hidden="true" customHeight="false" outlineLevel="0" collapsed="false">
      <c r="A23" s="1" t="n">
        <v>21</v>
      </c>
      <c r="B23" s="3" t="s">
        <v>80</v>
      </c>
      <c r="C23" s="3" t="s">
        <v>81</v>
      </c>
      <c r="D23" s="3" t="s">
        <v>82</v>
      </c>
      <c r="E23" s="1" t="s">
        <v>18</v>
      </c>
      <c r="F23" s="1" t="s">
        <v>18</v>
      </c>
      <c r="H23" s="1" t="s">
        <v>19</v>
      </c>
      <c r="I23" s="14" t="s">
        <v>18</v>
      </c>
      <c r="J23" s="1" t="s">
        <v>18</v>
      </c>
      <c r="K23" s="1" t="s">
        <v>18</v>
      </c>
      <c r="M23" s="1" t="n">
        <f aca="false">COUNTIF(E23:K23,"P")</f>
        <v>5</v>
      </c>
      <c r="N23" s="1" t="n">
        <f aca="false">COUNTIF(E23:K23,"M")</f>
        <v>0</v>
      </c>
      <c r="O23" s="1" t="n">
        <f aca="false">COUNTIF(E23:K23,"T")</f>
        <v>0</v>
      </c>
      <c r="P23" s="1" t="n">
        <f aca="false">M23+N23/2+O23/4</f>
        <v>5</v>
      </c>
      <c r="Q23" s="15" t="n">
        <f aca="false">ROUND(P23*10/$S$2,0)</f>
        <v>8</v>
      </c>
      <c r="R23" s="1" t="s">
        <v>83</v>
      </c>
      <c r="T23" s="1" t="s">
        <v>18</v>
      </c>
      <c r="V23" s="1" t="s">
        <v>18</v>
      </c>
      <c r="X23" s="1" t="s">
        <v>18</v>
      </c>
      <c r="Z23" s="1" t="s">
        <v>18</v>
      </c>
      <c r="AB23" s="1" t="s">
        <v>18</v>
      </c>
      <c r="AD23" s="3" t="s">
        <v>18</v>
      </c>
      <c r="AF23" s="1" t="s">
        <v>18</v>
      </c>
      <c r="AG23" s="3" t="s">
        <v>18</v>
      </c>
      <c r="AI23" s="3" t="s">
        <v>18</v>
      </c>
      <c r="AK23" s="3" t="s">
        <v>18</v>
      </c>
      <c r="AM23" s="3" t="s">
        <v>19</v>
      </c>
      <c r="AO23" s="3" t="s">
        <v>18</v>
      </c>
      <c r="AQ23" s="2" t="s">
        <v>18</v>
      </c>
      <c r="AS23" s="2" t="s">
        <v>20</v>
      </c>
      <c r="AT23" s="9" t="n">
        <v>0.552083333333333</v>
      </c>
      <c r="AU23" s="3" t="n">
        <f aca="false">COUNTIF(T23:AO23,"P")</f>
        <v>11</v>
      </c>
      <c r="AV23" s="3" t="n">
        <f aca="false">COUNTIF(T23:AO23,"M")</f>
        <v>0</v>
      </c>
      <c r="AW23" s="3" t="n">
        <f aca="false">COUNTIF(T23:AO23,"T")</f>
        <v>0</v>
      </c>
      <c r="AX23" s="8" t="n">
        <f aca="false">ROUND((AU23+AV23/2+AW23/4)*10/12,0)</f>
        <v>9</v>
      </c>
    </row>
    <row r="24" customFormat="false" ht="15.65" hidden="true" customHeight="false" outlineLevel="0" collapsed="false">
      <c r="A24" s="1" t="n">
        <v>22</v>
      </c>
      <c r="B24" s="3" t="s">
        <v>84</v>
      </c>
      <c r="C24" s="3" t="s">
        <v>85</v>
      </c>
      <c r="D24" s="3" t="s">
        <v>86</v>
      </c>
      <c r="E24" s="1" t="s">
        <v>18</v>
      </c>
      <c r="F24" s="1" t="s">
        <v>18</v>
      </c>
      <c r="H24" s="1" t="s">
        <v>19</v>
      </c>
      <c r="I24" s="1" t="s">
        <v>18</v>
      </c>
      <c r="J24" s="1" t="s">
        <v>18</v>
      </c>
      <c r="K24" s="1" t="s">
        <v>18</v>
      </c>
      <c r="M24" s="1" t="n">
        <f aca="false">COUNTIF(E24:K24,"P")</f>
        <v>5</v>
      </c>
      <c r="N24" s="1" t="n">
        <f aca="false">COUNTIF(E24:K24,"M")</f>
        <v>0</v>
      </c>
      <c r="O24" s="1" t="n">
        <f aca="false">COUNTIF(E24:K24,"T")</f>
        <v>0</v>
      </c>
      <c r="P24" s="1" t="n">
        <f aca="false">M24+N24/2+O24/4</f>
        <v>5</v>
      </c>
      <c r="Q24" s="8" t="n">
        <f aca="false">ROUND(P24*10/$S$2,0)</f>
        <v>8</v>
      </c>
      <c r="T24" s="1" t="s">
        <v>18</v>
      </c>
      <c r="V24" s="1" t="s">
        <v>18</v>
      </c>
      <c r="X24" s="1" t="s">
        <v>18</v>
      </c>
      <c r="Z24" s="1" t="s">
        <v>18</v>
      </c>
      <c r="AB24" s="1" t="s">
        <v>18</v>
      </c>
      <c r="AD24" s="3" t="s">
        <v>18</v>
      </c>
      <c r="AF24" s="1" t="s">
        <v>18</v>
      </c>
      <c r="AG24" s="3" t="s">
        <v>18</v>
      </c>
      <c r="AI24" s="3" t="s">
        <v>18</v>
      </c>
      <c r="AK24" s="3" t="s">
        <v>18</v>
      </c>
      <c r="AM24" s="3" t="s">
        <v>19</v>
      </c>
      <c r="AO24" s="3" t="s">
        <v>18</v>
      </c>
      <c r="AQ24" s="2" t="s">
        <v>19</v>
      </c>
      <c r="AS24" s="2" t="s">
        <v>18</v>
      </c>
      <c r="AU24" s="3" t="n">
        <f aca="false">COUNTIF(T24:AO24,"P")</f>
        <v>11</v>
      </c>
      <c r="AV24" s="3" t="n">
        <f aca="false">COUNTIF(T24:AO24,"M")</f>
        <v>0</v>
      </c>
      <c r="AW24" s="3" t="n">
        <f aca="false">COUNTIF(T24:AO24,"T")</f>
        <v>0</v>
      </c>
      <c r="AX24" s="8" t="n">
        <f aca="false">ROUND((AU24+AV24/2+AW24/4)*10/12,0)</f>
        <v>9</v>
      </c>
    </row>
    <row r="25" customFormat="false" ht="15.65" hidden="true" customHeight="false" outlineLevel="0" collapsed="false">
      <c r="A25" s="1" t="n">
        <v>23</v>
      </c>
      <c r="B25" s="3" t="s">
        <v>87</v>
      </c>
      <c r="C25" s="3" t="s">
        <v>88</v>
      </c>
      <c r="D25" s="3" t="s">
        <v>89</v>
      </c>
      <c r="E25" s="1" t="s">
        <v>18</v>
      </c>
      <c r="F25" s="1" t="s">
        <v>18</v>
      </c>
      <c r="H25" s="1" t="s">
        <v>18</v>
      </c>
      <c r="I25" s="1" t="s">
        <v>18</v>
      </c>
      <c r="J25" s="1" t="s">
        <v>18</v>
      </c>
      <c r="K25" s="1" t="s">
        <v>18</v>
      </c>
      <c r="M25" s="1" t="n">
        <f aca="false">COUNTIF(E25:K25,"P")</f>
        <v>6</v>
      </c>
      <c r="N25" s="1" t="n">
        <f aca="false">COUNTIF(E25:K25,"M")</f>
        <v>0</v>
      </c>
      <c r="O25" s="1" t="n">
        <f aca="false">COUNTIF(E25:K25,"T")</f>
        <v>0</v>
      </c>
      <c r="P25" s="1" t="n">
        <f aca="false">M25+N25/2+O25/4</f>
        <v>6</v>
      </c>
      <c r="Q25" s="8" t="n">
        <f aca="false">ROUND(P25*10/$S$2,0)</f>
        <v>10</v>
      </c>
      <c r="T25" s="1" t="s">
        <v>18</v>
      </c>
      <c r="V25" s="1" t="s">
        <v>18</v>
      </c>
      <c r="X25" s="1" t="s">
        <v>18</v>
      </c>
      <c r="Z25" s="1" t="s">
        <v>18</v>
      </c>
      <c r="AB25" s="1" t="s">
        <v>18</v>
      </c>
      <c r="AD25" s="3" t="s">
        <v>18</v>
      </c>
      <c r="AF25" s="1" t="s">
        <v>18</v>
      </c>
      <c r="AG25" s="3" t="s">
        <v>19</v>
      </c>
      <c r="AI25" s="3" t="s">
        <v>18</v>
      </c>
      <c r="AK25" s="3" t="s">
        <v>19</v>
      </c>
      <c r="AM25" s="3" t="s">
        <v>19</v>
      </c>
      <c r="AO25" s="3" t="s">
        <v>18</v>
      </c>
      <c r="AQ25" s="2" t="s">
        <v>19</v>
      </c>
      <c r="AS25" s="2" t="s">
        <v>18</v>
      </c>
      <c r="AU25" s="3" t="n">
        <f aca="false">COUNTIF(T25:AO25,"P")</f>
        <v>9</v>
      </c>
      <c r="AV25" s="3" t="n">
        <f aca="false">COUNTIF(T25:AO25,"M")</f>
        <v>0</v>
      </c>
      <c r="AW25" s="3" t="n">
        <f aca="false">COUNTIF(T25:AO25,"T")</f>
        <v>0</v>
      </c>
      <c r="AX25" s="8" t="n">
        <f aca="false">ROUND((AU25+AV25/2+AW25/4)*10/12,0)</f>
        <v>8</v>
      </c>
    </row>
    <row r="26" s="2" customFormat="true" ht="15.65" hidden="true" customHeight="false" outlineLevel="0" collapsed="false">
      <c r="A26" s="2" t="n">
        <v>24</v>
      </c>
      <c r="B26" s="6" t="s">
        <v>90</v>
      </c>
      <c r="C26" s="13" t="s">
        <v>91</v>
      </c>
      <c r="D26" s="6" t="s">
        <v>92</v>
      </c>
      <c r="E26" s="2" t="s">
        <v>18</v>
      </c>
      <c r="F26" s="2" t="s">
        <v>18</v>
      </c>
      <c r="H26" s="2" t="s">
        <v>19</v>
      </c>
      <c r="I26" s="2" t="s">
        <v>18</v>
      </c>
      <c r="J26" s="2" t="s">
        <v>18</v>
      </c>
      <c r="K26" s="2" t="s">
        <v>18</v>
      </c>
      <c r="M26" s="2" t="n">
        <f aca="false">COUNTIF(E26:K26,"P")</f>
        <v>5</v>
      </c>
      <c r="N26" s="2" t="n">
        <f aca="false">COUNTIF(E26:K26,"M")</f>
        <v>0</v>
      </c>
      <c r="O26" s="2" t="n">
        <f aca="false">COUNTIF(E26:K26,"T")</f>
        <v>0</v>
      </c>
      <c r="P26" s="2" t="n">
        <f aca="false">M26+N26/2+O26/4</f>
        <v>5</v>
      </c>
      <c r="Q26" s="16" t="n">
        <f aca="false">ROUND(P26*10/$S$2,0)</f>
        <v>8</v>
      </c>
      <c r="T26" s="2" t="s">
        <v>18</v>
      </c>
      <c r="V26" s="2" t="s">
        <v>18</v>
      </c>
      <c r="X26" s="2" t="s">
        <v>18</v>
      </c>
      <c r="Z26" s="2" t="s">
        <v>20</v>
      </c>
      <c r="AA26" s="10" t="n">
        <v>0.569444444444444</v>
      </c>
      <c r="AB26" s="2" t="s">
        <v>18</v>
      </c>
      <c r="AD26" s="6" t="s">
        <v>18</v>
      </c>
      <c r="AF26" s="2" t="s">
        <v>18</v>
      </c>
      <c r="AG26" s="6" t="s">
        <v>18</v>
      </c>
      <c r="AI26" s="6" t="s">
        <v>18</v>
      </c>
      <c r="AK26" s="6" t="s">
        <v>18</v>
      </c>
      <c r="AM26" s="6" t="s">
        <v>18</v>
      </c>
      <c r="AO26" s="6" t="s">
        <v>18</v>
      </c>
      <c r="AQ26" s="2" t="s">
        <v>18</v>
      </c>
      <c r="AS26" s="2" t="s">
        <v>18</v>
      </c>
      <c r="AT26" s="1"/>
      <c r="AU26" s="2" t="n">
        <f aca="false">COUNTIF(T26:AO26,"P")</f>
        <v>11</v>
      </c>
      <c r="AV26" s="2" t="n">
        <f aca="false">COUNTIF(T26:AO26,"M")</f>
        <v>0</v>
      </c>
      <c r="AW26" s="2" t="n">
        <f aca="false">COUNTIF(T26:AO26,"T")</f>
        <v>1</v>
      </c>
      <c r="AX26" s="16" t="n">
        <f aca="false">ROUND((AU26+AV26/2+AW26/4)*10/12,0)</f>
        <v>9</v>
      </c>
    </row>
    <row r="27" customFormat="false" ht="15.65" hidden="true" customHeight="false" outlineLevel="0" collapsed="false">
      <c r="A27" s="1" t="n">
        <v>25</v>
      </c>
      <c r="B27" s="3" t="s">
        <v>93</v>
      </c>
      <c r="C27" s="3" t="s">
        <v>94</v>
      </c>
      <c r="D27" s="3" t="s">
        <v>95</v>
      </c>
      <c r="E27" s="1" t="s">
        <v>18</v>
      </c>
      <c r="F27" s="1" t="s">
        <v>18</v>
      </c>
      <c r="H27" s="1" t="s">
        <v>18</v>
      </c>
      <c r="I27" s="1" t="s">
        <v>18</v>
      </c>
      <c r="J27" s="1" t="s">
        <v>18</v>
      </c>
      <c r="K27" s="1" t="s">
        <v>18</v>
      </c>
      <c r="M27" s="1" t="n">
        <f aca="false">COUNTIF(E27:K27,"P")</f>
        <v>6</v>
      </c>
      <c r="N27" s="1" t="n">
        <f aca="false">COUNTIF(E27:K27,"M")</f>
        <v>0</v>
      </c>
      <c r="O27" s="1" t="n">
        <f aca="false">COUNTIF(E27:K27,"T")</f>
        <v>0</v>
      </c>
      <c r="P27" s="1" t="n">
        <f aca="false">M27+N27/2+O27/4</f>
        <v>6</v>
      </c>
      <c r="Q27" s="8" t="n">
        <f aca="false">ROUND(P27*10/$S$2,0)</f>
        <v>10</v>
      </c>
      <c r="T27" s="1" t="s">
        <v>18</v>
      </c>
      <c r="V27" s="1" t="s">
        <v>18</v>
      </c>
      <c r="X27" s="1" t="s">
        <v>19</v>
      </c>
      <c r="Z27" s="1" t="s">
        <v>18</v>
      </c>
      <c r="AB27" s="1" t="s">
        <v>18</v>
      </c>
      <c r="AD27" s="3" t="s">
        <v>20</v>
      </c>
      <c r="AE27" s="9" t="n">
        <v>0.572916666666667</v>
      </c>
      <c r="AF27" s="1" t="s">
        <v>18</v>
      </c>
      <c r="AG27" s="3" t="s">
        <v>20</v>
      </c>
      <c r="AH27" s="9" t="n">
        <v>0.604166666666667</v>
      </c>
      <c r="AI27" s="3" t="s">
        <v>18</v>
      </c>
      <c r="AK27" s="3" t="s">
        <v>18</v>
      </c>
      <c r="AM27" s="3" t="s">
        <v>18</v>
      </c>
      <c r="AO27" s="3" t="s">
        <v>18</v>
      </c>
      <c r="AQ27" s="2" t="s">
        <v>18</v>
      </c>
      <c r="AS27" s="2" t="s">
        <v>18</v>
      </c>
      <c r="AU27" s="3" t="n">
        <f aca="false">COUNTIF(T27:AO27,"P")</f>
        <v>9</v>
      </c>
      <c r="AV27" s="3" t="n">
        <f aca="false">COUNTIF(T27:AO27,"M")</f>
        <v>0</v>
      </c>
      <c r="AW27" s="3" t="n">
        <f aca="false">COUNTIF(T27:AO27,"T")</f>
        <v>2</v>
      </c>
      <c r="AX27" s="8" t="n">
        <f aca="false">ROUND((AU27+AV27/2+AW27/4)*10/12,0)</f>
        <v>8</v>
      </c>
    </row>
    <row r="28" s="1" customFormat="true" ht="15.65" hidden="false" customHeight="false" outlineLevel="0" collapsed="false">
      <c r="A28" s="3" t="n">
        <v>26</v>
      </c>
      <c r="B28" s="3" t="s">
        <v>96</v>
      </c>
      <c r="C28" s="11" t="s">
        <v>97</v>
      </c>
      <c r="D28" s="3" t="s">
        <v>98</v>
      </c>
      <c r="E28" s="3" t="s">
        <v>19</v>
      </c>
      <c r="F28" s="3" t="s">
        <v>19</v>
      </c>
      <c r="G28" s="3"/>
      <c r="H28" s="3" t="s">
        <v>18</v>
      </c>
      <c r="I28" s="3" t="s">
        <v>18</v>
      </c>
      <c r="J28" s="3" t="s">
        <v>18</v>
      </c>
      <c r="K28" s="3" t="s">
        <v>19</v>
      </c>
      <c r="L28" s="3"/>
      <c r="M28" s="3" t="n">
        <f aca="false">COUNTIF(E28:K28,"P")</f>
        <v>3</v>
      </c>
      <c r="N28" s="3" t="n">
        <f aca="false">COUNTIF(E28:K28,"M")</f>
        <v>0</v>
      </c>
      <c r="O28" s="3" t="n">
        <f aca="false">COUNTIF(E28:K28,"T")</f>
        <v>0</v>
      </c>
      <c r="P28" s="3" t="n">
        <f aca="false">M28+N28/2+O28/4</f>
        <v>3</v>
      </c>
      <c r="Q28" s="8" t="n">
        <f aca="false">ROUND(P28*10/$S$2,0)</f>
        <v>5</v>
      </c>
      <c r="R28" s="3"/>
      <c r="S28" s="3"/>
      <c r="T28" s="3" t="s">
        <v>19</v>
      </c>
      <c r="U28" s="3"/>
      <c r="V28" s="3" t="s">
        <v>20</v>
      </c>
      <c r="W28" s="9" t="n">
        <v>0.576388888888889</v>
      </c>
      <c r="X28" s="3" t="s">
        <v>20</v>
      </c>
      <c r="Y28" s="9" t="n">
        <v>0.583333333333333</v>
      </c>
      <c r="Z28" s="3" t="s">
        <v>20</v>
      </c>
      <c r="AB28" s="3" t="s">
        <v>20</v>
      </c>
      <c r="AC28" s="9" t="n">
        <v>0.59375</v>
      </c>
      <c r="AD28" s="3" t="s">
        <v>20</v>
      </c>
      <c r="AE28" s="9" t="n">
        <v>0.572916666666667</v>
      </c>
      <c r="AF28" s="3" t="s">
        <v>18</v>
      </c>
      <c r="AG28" s="1" t="s">
        <v>20</v>
      </c>
      <c r="AH28" s="9" t="n">
        <v>0.583333333333333</v>
      </c>
      <c r="AI28" s="1" t="s">
        <v>20</v>
      </c>
      <c r="AJ28" s="9" t="n">
        <v>0.597222222222222</v>
      </c>
      <c r="AK28" s="1" t="s">
        <v>20</v>
      </c>
      <c r="AL28" s="9" t="n">
        <v>0.583333333333333</v>
      </c>
      <c r="AM28" s="3" t="s">
        <v>19</v>
      </c>
      <c r="AO28" s="1" t="s">
        <v>19</v>
      </c>
      <c r="AQ28" s="2" t="s">
        <v>19</v>
      </c>
      <c r="AR28" s="2"/>
      <c r="AS28" s="2" t="s">
        <v>19</v>
      </c>
      <c r="AU28" s="3" t="n">
        <f aca="false">COUNTIF(T28:AS28,"P")</f>
        <v>1</v>
      </c>
      <c r="AV28" s="3" t="n">
        <f aca="false">COUNTIF(T28:AS28,"M")</f>
        <v>0</v>
      </c>
      <c r="AW28" s="3" t="n">
        <f aca="false">COUNTIF(T28:AS28,"T")</f>
        <v>8</v>
      </c>
      <c r="AX28" s="8" t="n">
        <f aca="false">ROUND((AU28+AV28/2+AW28/4)*10/12,0)</f>
        <v>3</v>
      </c>
      <c r="AY28" s="12" t="s">
        <v>19</v>
      </c>
      <c r="AZ28" s="12" t="s">
        <v>19</v>
      </c>
    </row>
    <row r="29" customFormat="false" ht="15" hidden="false" customHeight="false" outlineLevel="0" collapsed="false">
      <c r="C29" s="1" t="s">
        <v>99</v>
      </c>
      <c r="E29" s="1" t="n">
        <f aca="false">COUNTIF(E3:E28,"P")</f>
        <v>21</v>
      </c>
      <c r="F29" s="1" t="n">
        <f aca="false">COUNTIF(F3:F28,"P")</f>
        <v>19</v>
      </c>
      <c r="H29" s="1" t="n">
        <f aca="false">COUNTIF(H3:H28,"P")</f>
        <v>6</v>
      </c>
      <c r="I29" s="1" t="n">
        <f aca="false">COUNTIF(I3:I28,"P")</f>
        <v>24</v>
      </c>
      <c r="J29" s="1" t="n">
        <f aca="false">COUNTIF(J3:J28,"P")</f>
        <v>23</v>
      </c>
      <c r="K29" s="1" t="n">
        <f aca="false">COUNTIF(K3:K28,"P")</f>
        <v>17</v>
      </c>
      <c r="T29" s="1" t="n">
        <f aca="false">COUNTIF(T3:T28,"P")</f>
        <v>22</v>
      </c>
      <c r="V29" s="1" t="n">
        <f aca="false">COUNTIF(V3:V28,"P")</f>
        <v>16</v>
      </c>
      <c r="X29" s="1" t="n">
        <f aca="false">COUNTIF(X3:X28,"P")</f>
        <v>14</v>
      </c>
      <c r="Z29" s="1" t="n">
        <f aca="false">COUNTIF(Z3:Z28,"P")</f>
        <v>18</v>
      </c>
      <c r="AB29" s="1" t="n">
        <f aca="false">COUNTIF(AB3:AB28,"P")</f>
        <v>22</v>
      </c>
      <c r="AD29" s="3" t="n">
        <f aca="false">COUNTIF(AD3:AD28,"P")</f>
        <v>17</v>
      </c>
      <c r="AF29" s="1" t="n">
        <f aca="false">COUNTIF(AF3:AF28,"P")</f>
        <v>25</v>
      </c>
      <c r="AG29" s="1" t="n">
        <f aca="false">COUNTIF(AG3:AG28,"P")</f>
        <v>16</v>
      </c>
      <c r="AI29" s="1" t="n">
        <f aca="false">COUNTIF(AI3:AI28,"P")</f>
        <v>17</v>
      </c>
      <c r="AK29" s="1" t="n">
        <f aca="false">COUNTIF(AK3:AK28,"P")</f>
        <v>18</v>
      </c>
      <c r="AM29" s="1" t="n">
        <f aca="false">COUNTIF(AM3:AM28,"P")</f>
        <v>9</v>
      </c>
      <c r="AO29" s="1" t="n">
        <f aca="false">COUNTIF(AO3:AO28,"P")</f>
        <v>17</v>
      </c>
      <c r="AQ29" s="2" t="n">
        <f aca="false">COUNTIF(AQ3:AQ28,"P")</f>
        <v>15</v>
      </c>
      <c r="AS29" s="2" t="n">
        <f aca="false">COUNTIF(AS3:AS28,"P")</f>
        <v>14</v>
      </c>
    </row>
    <row r="30" customFormat="false" ht="15" hidden="false" customHeight="false" outlineLevel="0" collapsed="false">
      <c r="C30" s="1" t="s">
        <v>100</v>
      </c>
      <c r="V30" s="1" t="n">
        <f aca="false">COUNTIF(V3:V28,"M")</f>
        <v>2</v>
      </c>
      <c r="X30" s="1" t="n">
        <f aca="false">COUNTIF(X3:X28,"M")</f>
        <v>2</v>
      </c>
      <c r="Z30" s="1" t="n">
        <f aca="false">COUNTIF(Z3:Z28,"M")</f>
        <v>0</v>
      </c>
      <c r="AB30" s="1" t="n">
        <f aca="false">COUNTIF(AB3:AB28,"M")</f>
        <v>0</v>
      </c>
      <c r="AD30" s="3" t="n">
        <f aca="false">COUNTIF(AD3:AD28,"M")</f>
        <v>0</v>
      </c>
      <c r="AF30" s="1" t="n">
        <f aca="false">COUNTIF(AF3:AF28,"M")</f>
        <v>0</v>
      </c>
      <c r="AG30" s="1" t="n">
        <f aca="false">COUNTIF(AG3:AG28,"M")</f>
        <v>0</v>
      </c>
      <c r="AI30" s="1" t="n">
        <f aca="false">COUNTIF(AI3:AI28,"M")</f>
        <v>0</v>
      </c>
      <c r="AK30" s="1" t="n">
        <f aca="false">COUNTIF(AK3:AK28,"M")</f>
        <v>1</v>
      </c>
      <c r="AM30" s="1" t="n">
        <f aca="false">COUNTIF(AM3:AM28,"M")</f>
        <v>0</v>
      </c>
      <c r="AO30" s="1" t="n">
        <f aca="false">COUNTIF(AO3:AO28,"M")</f>
        <v>0</v>
      </c>
      <c r="AQ30" s="2" t="n">
        <f aca="false">COUNTIF(AQ3:AQ28,"M")</f>
        <v>0</v>
      </c>
      <c r="AS30" s="2" t="n">
        <f aca="false">COUNTIF(AS3:AS28,"M")</f>
        <v>0</v>
      </c>
    </row>
    <row r="31" customFormat="false" ht="15" hidden="false" customHeight="false" outlineLevel="0" collapsed="false">
      <c r="C31" s="1" t="s">
        <v>101</v>
      </c>
      <c r="V31" s="1" t="n">
        <f aca="false">COUNTIF(V3:V28,"T")</f>
        <v>6</v>
      </c>
      <c r="X31" s="1" t="n">
        <f aca="false">COUNTIF(X3:X28,"T")</f>
        <v>6</v>
      </c>
      <c r="Z31" s="1" t="n">
        <f aca="false">COUNTIF(Z3:Z28,"T")</f>
        <v>8</v>
      </c>
      <c r="AB31" s="1" t="n">
        <f aca="false">COUNTIF(AB3:AB28,"T")</f>
        <v>2</v>
      </c>
      <c r="AD31" s="3" t="n">
        <f aca="false">COUNTIF(AD3:AD28,"T")</f>
        <v>6</v>
      </c>
      <c r="AF31" s="1" t="n">
        <f aca="false">COUNTIF(AF3:AF28,"T")</f>
        <v>0</v>
      </c>
      <c r="AG31" s="1" t="n">
        <f aca="false">COUNTIF(AG3:AG28,"T")</f>
        <v>6</v>
      </c>
      <c r="AI31" s="1" t="n">
        <f aca="false">COUNTIF(AI3:AI28,"T")</f>
        <v>3</v>
      </c>
      <c r="AK31" s="1" t="n">
        <f aca="false">COUNTIF(AK3:AK28,"T")</f>
        <v>3</v>
      </c>
      <c r="AM31" s="1" t="n">
        <f aca="false">COUNTIF(AM3:AM28,"T")</f>
        <v>0</v>
      </c>
      <c r="AO31" s="1" t="n">
        <f aca="false">COUNTIF(AO3:AO28,"T")</f>
        <v>5</v>
      </c>
      <c r="AQ31" s="2" t="n">
        <f aca="false">COUNTIF(AQ3:AQ28,"T")</f>
        <v>3</v>
      </c>
      <c r="AS31" s="2" t="n">
        <f aca="false">COUNTIF(AS3:AS28,"T")</f>
        <v>5</v>
      </c>
    </row>
    <row r="32" customFormat="false" ht="15" hidden="false" customHeight="false" outlineLevel="0" collapsed="false">
      <c r="C32" s="1" t="s">
        <v>0</v>
      </c>
      <c r="V32" s="1" t="n">
        <f aca="false">SUM(V29:V31)</f>
        <v>24</v>
      </c>
      <c r="X32" s="1" t="n">
        <f aca="false">SUM(X29:X31)</f>
        <v>22</v>
      </c>
      <c r="Z32" s="1" t="n">
        <f aca="false">SUM(Z29:Z31)</f>
        <v>26</v>
      </c>
      <c r="AB32" s="1" t="n">
        <f aca="false">SUM(AB29:AB31)</f>
        <v>24</v>
      </c>
      <c r="AD32" s="3" t="n">
        <f aca="false">SUM(AD29:AD31)</f>
        <v>23</v>
      </c>
      <c r="AF32" s="1" t="n">
        <f aca="false">SUM(AF29:AF31)</f>
        <v>25</v>
      </c>
      <c r="AG32" s="1" t="n">
        <f aca="false">SUM(AG29:AG31)</f>
        <v>22</v>
      </c>
      <c r="AI32" s="1" t="n">
        <f aca="false">SUM(AI29:AI31)</f>
        <v>20</v>
      </c>
      <c r="AK32" s="1" t="n">
        <f aca="false">SUM(AK29:AK31)</f>
        <v>22</v>
      </c>
      <c r="AM32" s="1" t="n">
        <f aca="false">SUM(AM29:AM31)</f>
        <v>9</v>
      </c>
      <c r="AO32" s="1" t="n">
        <f aca="false">SUM(AO29:AO31)</f>
        <v>22</v>
      </c>
      <c r="AQ32" s="2" t="n">
        <f aca="false">SUM(AQ29:AQ31)</f>
        <v>18</v>
      </c>
      <c r="AS32" s="2" t="n">
        <f aca="false">SUM(AS29:AS31)</f>
        <v>19</v>
      </c>
    </row>
  </sheetData>
  <conditionalFormatting sqref="Q3:Q28">
    <cfRule type="cellIs" priority="2" operator="greaterThan" aboveAverage="0" equalAverage="0" bottom="0" percent="0" rank="0" text="" dxfId="0">
      <formula>6</formula>
    </cfRule>
  </conditionalFormatting>
  <conditionalFormatting sqref="AX3:AX28">
    <cfRule type="cellIs" priority="3" operator="greaterThan" aboveAverage="0" equalAverage="0" bottom="0" percent="0" rank="0" text="" dxfId="1">
      <formula>6</formula>
    </cfRule>
    <cfRule type="cellIs" priority="4" operator="lessThan" aboveAverage="0" equalAverage="0" bottom="0" percent="0" rank="0" text="" dxfId="2">
      <formula>7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F29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F4" activeCellId="0" sqref="AF4"/>
    </sheetView>
  </sheetViews>
  <sheetFormatPr defaultColWidth="9.63671875" defaultRowHeight="15" zeroHeight="false" outlineLevelRow="0" outlineLevelCol="0"/>
  <cols>
    <col collapsed="false" customWidth="true" hidden="false" outlineLevel="0" max="1" min="1" style="1" width="4.2"/>
    <col collapsed="false" customWidth="true" hidden="false" outlineLevel="0" max="2" min="2" style="1" width="17.57"/>
    <col collapsed="false" customWidth="true" hidden="true" outlineLevel="0" max="3" min="3" style="1" width="8.57"/>
    <col collapsed="false" customWidth="true" hidden="true" outlineLevel="0" max="12" min="4" style="1" width="9.33"/>
    <col collapsed="false" customWidth="true" hidden="true" outlineLevel="0" max="13" min="13" style="1" width="9.56"/>
    <col collapsed="false" customWidth="true" hidden="true" outlineLevel="0" max="14" min="14" style="1" width="8.82"/>
    <col collapsed="false" customWidth="true" hidden="true" outlineLevel="0" max="19" min="15" style="1" width="9.56"/>
    <col collapsed="false" customWidth="true" hidden="true" outlineLevel="0" max="20" min="20" style="1" width="7.38"/>
    <col collapsed="false" customWidth="true" hidden="true" outlineLevel="0" max="29" min="21" style="1" width="9.56"/>
    <col collapsed="false" customWidth="false" hidden="true" outlineLevel="0" max="31" min="30" style="1" width="9.58"/>
    <col collapsed="false" customWidth="false" hidden="false" outlineLevel="0" max="32" min="32" style="1" width="9.58"/>
    <col collapsed="false" customWidth="false" hidden="true" outlineLevel="0" max="33" min="33" style="1" width="9.58"/>
    <col collapsed="false" customWidth="true" hidden="true" outlineLevel="0" max="34" min="34" style="1" width="9.33"/>
    <col collapsed="false" customWidth="false" hidden="true" outlineLevel="0" max="35" min="35" style="1" width="9.58"/>
    <col collapsed="false" customWidth="true" hidden="true" outlineLevel="0" max="36" min="36" style="1" width="11.17"/>
    <col collapsed="false" customWidth="false" hidden="true" outlineLevel="0" max="37" min="37" style="1" width="9.64"/>
    <col collapsed="false" customWidth="true" hidden="true" outlineLevel="0" max="38" min="38" style="1" width="30.76"/>
    <col collapsed="false" customWidth="true" hidden="true" outlineLevel="0" max="39" min="39" style="1" width="15.75"/>
    <col collapsed="false" customWidth="true" hidden="true" outlineLevel="0" max="40" min="40" style="1" width="40.67"/>
    <col collapsed="false" customWidth="false" hidden="true" outlineLevel="0" max="41" min="41" style="1" width="9.64"/>
    <col collapsed="false" customWidth="true" hidden="true" outlineLevel="0" max="42" min="42" style="1" width="18.97"/>
    <col collapsed="false" customWidth="true" hidden="true" outlineLevel="0" max="43" min="43" style="1" width="10.2"/>
    <col collapsed="false" customWidth="true" hidden="true" outlineLevel="0" max="44" min="44" style="1" width="22.9"/>
    <col collapsed="false" customWidth="false" hidden="true" outlineLevel="0" max="45" min="45" style="1" width="9.64"/>
    <col collapsed="false" customWidth="true" hidden="true" outlineLevel="0" max="46" min="46" style="1" width="29.77"/>
    <col collapsed="false" customWidth="true" hidden="true" outlineLevel="0" max="47" min="47" style="1" width="9.1"/>
    <col collapsed="false" customWidth="true" hidden="true" outlineLevel="0" max="48" min="48" style="1" width="17.9"/>
    <col collapsed="false" customWidth="false" hidden="true" outlineLevel="0" max="49" min="49" style="1" width="9.64"/>
    <col collapsed="false" customWidth="true" hidden="true" outlineLevel="0" max="50" min="50" style="1" width="23.39"/>
    <col collapsed="false" customWidth="false" hidden="true" outlineLevel="0" max="54" min="51" style="1" width="9.64"/>
    <col collapsed="false" customWidth="true" hidden="false" outlineLevel="0" max="58" min="58" style="0" width="13.37"/>
  </cols>
  <sheetData>
    <row r="1" customFormat="false" ht="15" hidden="false" customHeight="false" outlineLevel="0" collapsed="false">
      <c r="B1" s="3"/>
      <c r="AF1" s="1" t="s">
        <v>102</v>
      </c>
      <c r="AH1" s="4"/>
      <c r="AI1" s="4"/>
      <c r="AJ1" s="1" t="s">
        <v>103</v>
      </c>
      <c r="AK1" s="4" t="n">
        <v>45769</v>
      </c>
      <c r="AL1" s="4"/>
      <c r="AM1" s="4" t="n">
        <v>45769</v>
      </c>
      <c r="AO1" s="4" t="n">
        <v>45769</v>
      </c>
      <c r="AP1" s="4"/>
      <c r="AQ1" s="4" t="n">
        <v>45769</v>
      </c>
      <c r="AR1" s="4"/>
      <c r="AS1" s="4" t="n">
        <v>45769</v>
      </c>
      <c r="AT1" s="4"/>
      <c r="AU1" s="4" t="n">
        <v>45818</v>
      </c>
      <c r="AV1" s="4" t="s">
        <v>5</v>
      </c>
      <c r="AW1" s="4" t="n">
        <v>45886</v>
      </c>
      <c r="BC1" s="3" t="s">
        <v>104</v>
      </c>
    </row>
    <row r="2" customFormat="false" ht="15" hidden="false" customHeight="false" outlineLevel="0" collapsed="false">
      <c r="A2" s="1" t="s">
        <v>1</v>
      </c>
      <c r="B2" s="3" t="s">
        <v>3</v>
      </c>
      <c r="C2" s="1" t="s">
        <v>105</v>
      </c>
      <c r="D2" s="1" t="s">
        <v>106</v>
      </c>
      <c r="E2" s="1" t="s">
        <v>107</v>
      </c>
      <c r="F2" s="1" t="s">
        <v>106</v>
      </c>
      <c r="G2" s="1" t="s">
        <v>108</v>
      </c>
      <c r="H2" s="1" t="s">
        <v>106</v>
      </c>
      <c r="I2" s="1" t="s">
        <v>109</v>
      </c>
      <c r="J2" s="1" t="s">
        <v>106</v>
      </c>
      <c r="K2" s="1" t="s">
        <v>110</v>
      </c>
      <c r="L2" s="1" t="s">
        <v>106</v>
      </c>
      <c r="M2" s="1" t="s">
        <v>111</v>
      </c>
      <c r="N2" s="1" t="s">
        <v>106</v>
      </c>
      <c r="O2" s="1" t="s">
        <v>112</v>
      </c>
      <c r="P2" s="1" t="s">
        <v>106</v>
      </c>
      <c r="Q2" s="1" t="s">
        <v>113</v>
      </c>
      <c r="R2" s="1" t="s">
        <v>106</v>
      </c>
      <c r="S2" s="1" t="s">
        <v>114</v>
      </c>
      <c r="T2" s="1" t="s">
        <v>115</v>
      </c>
      <c r="U2" s="1" t="s">
        <v>116</v>
      </c>
      <c r="V2" s="1" t="s">
        <v>117</v>
      </c>
      <c r="W2" s="1" t="s">
        <v>118</v>
      </c>
      <c r="X2" s="1" t="s">
        <v>106</v>
      </c>
      <c r="Y2" s="1" t="s">
        <v>119</v>
      </c>
      <c r="Z2" s="1" t="s">
        <v>106</v>
      </c>
      <c r="AA2" s="1" t="s">
        <v>120</v>
      </c>
      <c r="AB2" s="1" t="s">
        <v>106</v>
      </c>
      <c r="AC2" s="1" t="s">
        <v>121</v>
      </c>
      <c r="AD2" s="1" t="s">
        <v>114</v>
      </c>
      <c r="AE2" s="1" t="s">
        <v>122</v>
      </c>
      <c r="AF2" s="1" t="s">
        <v>116</v>
      </c>
      <c r="AG2" s="1" t="s">
        <v>123</v>
      </c>
      <c r="AH2" s="4" t="n">
        <v>45881</v>
      </c>
      <c r="AI2" s="4" t="n">
        <v>45874</v>
      </c>
      <c r="AJ2" s="1" t="s">
        <v>124</v>
      </c>
      <c r="AK2" s="1" t="s">
        <v>125</v>
      </c>
      <c r="AL2" s="1" t="s">
        <v>5</v>
      </c>
      <c r="AM2" s="1" t="s">
        <v>126</v>
      </c>
      <c r="AN2" s="1" t="s">
        <v>5</v>
      </c>
      <c r="AO2" s="1" t="s">
        <v>127</v>
      </c>
      <c r="AP2" s="1" t="s">
        <v>5</v>
      </c>
      <c r="AQ2" s="1" t="s">
        <v>128</v>
      </c>
      <c r="AR2" s="1" t="s">
        <v>5</v>
      </c>
      <c r="AS2" s="1" t="s">
        <v>129</v>
      </c>
      <c r="AT2" s="1" t="s">
        <v>5</v>
      </c>
      <c r="AU2" s="1" t="s">
        <v>130</v>
      </c>
      <c r="AW2" s="1" t="s">
        <v>131</v>
      </c>
      <c r="AY2" s="1" t="s">
        <v>121</v>
      </c>
      <c r="AZ2" s="1" t="s">
        <v>114</v>
      </c>
      <c r="BA2" s="1" t="s">
        <v>132</v>
      </c>
      <c r="BB2" s="1" t="s">
        <v>133</v>
      </c>
      <c r="BC2" s="3" t="s">
        <v>116</v>
      </c>
      <c r="BD2" s="3" t="s">
        <v>134</v>
      </c>
      <c r="BE2" s="3" t="s">
        <v>135</v>
      </c>
    </row>
    <row r="3" customFormat="false" ht="15.65" hidden="true" customHeight="false" outlineLevel="0" collapsed="false">
      <c r="A3" s="1" t="n">
        <v>1</v>
      </c>
      <c r="B3" s="17" t="s">
        <v>16</v>
      </c>
      <c r="C3" s="1" t="n">
        <v>8</v>
      </c>
      <c r="E3" s="1" t="n">
        <v>9</v>
      </c>
      <c r="G3" s="1" t="n">
        <v>10</v>
      </c>
      <c r="I3" s="18" t="n">
        <v>7</v>
      </c>
      <c r="J3" s="4" t="n">
        <v>45784</v>
      </c>
      <c r="K3" s="1" t="n">
        <v>8</v>
      </c>
      <c r="M3" s="1" t="n">
        <v>8</v>
      </c>
      <c r="O3" s="1" t="n">
        <v>9</v>
      </c>
      <c r="Q3" s="1" t="n">
        <v>7</v>
      </c>
      <c r="S3" s="1" t="n">
        <v>0</v>
      </c>
      <c r="T3" s="1" t="n">
        <f aca="false">Q3+S3/2</f>
        <v>7</v>
      </c>
      <c r="U3" s="8" t="n">
        <f aca="false">ROUND(AVERAGE(M3,O3,T3,C3),0)</f>
        <v>8</v>
      </c>
      <c r="V3" s="8" t="str">
        <f aca="false">IF(U3&lt;7,"TEP","TEA")</f>
        <v>TEA</v>
      </c>
      <c r="W3" s="8" t="n">
        <v>7</v>
      </c>
      <c r="X3" s="8"/>
      <c r="Y3" s="8" t="n">
        <v>10</v>
      </c>
      <c r="Z3" s="8"/>
      <c r="AA3" s="8" t="n">
        <v>9</v>
      </c>
      <c r="AB3" s="8"/>
      <c r="AC3" s="1" t="n">
        <v>8</v>
      </c>
      <c r="AE3" s="1" t="n">
        <f aca="false">AC3+AD3/2</f>
        <v>8</v>
      </c>
      <c r="AF3" s="8" t="n">
        <f aca="false">ROUND(AVERAGE(AE3,AA3,Y3,W3,U3),0)</f>
        <v>8</v>
      </c>
      <c r="AH3" s="1" t="s">
        <v>19</v>
      </c>
      <c r="AJ3" s="1" t="n">
        <v>9</v>
      </c>
      <c r="AK3" s="1" t="n">
        <v>9</v>
      </c>
      <c r="AL3" s="17" t="s">
        <v>136</v>
      </c>
      <c r="AM3" s="1" t="n">
        <v>9</v>
      </c>
      <c r="AO3" s="1" t="n">
        <v>7</v>
      </c>
      <c r="AP3" s="6" t="s">
        <v>137</v>
      </c>
      <c r="AQ3" s="1" t="n">
        <v>7</v>
      </c>
      <c r="AR3" s="6" t="s">
        <v>138</v>
      </c>
      <c r="AS3" s="1" t="n">
        <v>7</v>
      </c>
      <c r="AT3" s="5" t="n">
        <v>45951</v>
      </c>
      <c r="AU3" s="1" t="n">
        <v>7</v>
      </c>
      <c r="AV3" s="5" t="n">
        <v>45951</v>
      </c>
      <c r="AW3" s="1" t="n">
        <v>7</v>
      </c>
      <c r="AX3" s="6" t="s">
        <v>139</v>
      </c>
      <c r="AY3" s="1" t="n">
        <v>5</v>
      </c>
      <c r="BA3" s="1" t="n">
        <f aca="false">AY3+AZ3/2</f>
        <v>5</v>
      </c>
      <c r="BC3" s="8" t="n">
        <f aca="false">ROUND(AVERAGE(AJ3,AK3,AM3,AO3,AQ3,AS3,AU3,AW3,BA3),0)</f>
        <v>7</v>
      </c>
      <c r="BD3" s="8" t="n">
        <f aca="false">ROUND(AVERAGE(AF3,BC3),0)</f>
        <v>8</v>
      </c>
    </row>
    <row r="4" customFormat="false" ht="15.65" hidden="false" customHeight="false" outlineLevel="0" collapsed="false">
      <c r="A4" s="1" t="n">
        <v>2</v>
      </c>
      <c r="B4" s="19" t="s">
        <v>23</v>
      </c>
      <c r="C4" s="1" t="n">
        <v>1</v>
      </c>
      <c r="E4" s="14" t="n">
        <v>4</v>
      </c>
      <c r="F4" s="20" t="n">
        <v>45846</v>
      </c>
      <c r="G4" s="1" t="n">
        <v>1</v>
      </c>
      <c r="I4" s="1" t="n">
        <v>1</v>
      </c>
      <c r="K4" s="1" t="n">
        <v>1</v>
      </c>
      <c r="M4" s="1" t="n">
        <v>1</v>
      </c>
      <c r="O4" s="1" t="n">
        <v>1</v>
      </c>
      <c r="Q4" s="1" t="n">
        <v>1</v>
      </c>
      <c r="S4" s="1" t="n">
        <v>1</v>
      </c>
      <c r="T4" s="1" t="n">
        <f aca="false">Q4+S4/2</f>
        <v>1.5</v>
      </c>
      <c r="U4" s="8" t="n">
        <f aca="false">ROUND(AVERAGE(M4,O4,T4),0)</f>
        <v>1</v>
      </c>
      <c r="V4" s="8" t="str">
        <f aca="false">IF(U4&lt;7,"TEP","TEA")</f>
        <v>TEP</v>
      </c>
      <c r="W4" s="8" t="n">
        <v>1</v>
      </c>
      <c r="X4" s="8"/>
      <c r="Y4" s="8" t="n">
        <v>1</v>
      </c>
      <c r="Z4" s="8"/>
      <c r="AA4" s="8" t="n">
        <v>1</v>
      </c>
      <c r="AB4" s="8"/>
      <c r="AC4" s="1" t="n">
        <v>7</v>
      </c>
      <c r="AE4" s="1" t="n">
        <f aca="false">AC4+AD4/2</f>
        <v>7</v>
      </c>
      <c r="AF4" s="8" t="n">
        <f aca="false">ROUND(AVERAGE(AE4,AA4,Y4,W4,U4),0)</f>
        <v>2</v>
      </c>
      <c r="AH4" s="1" t="s">
        <v>19</v>
      </c>
      <c r="AI4" s="1" t="s">
        <v>19</v>
      </c>
      <c r="AJ4" s="1" t="n">
        <v>7</v>
      </c>
      <c r="AK4" s="1" t="n">
        <v>7</v>
      </c>
      <c r="AL4" s="6" t="s">
        <v>140</v>
      </c>
      <c r="AM4" s="1" t="n">
        <v>7</v>
      </c>
      <c r="AN4" s="6" t="s">
        <v>141</v>
      </c>
      <c r="AO4" s="21" t="n">
        <v>1</v>
      </c>
      <c r="AQ4" s="21" t="n">
        <v>1</v>
      </c>
      <c r="AS4" s="22" t="n">
        <v>1</v>
      </c>
      <c r="AU4" s="21" t="n">
        <v>1</v>
      </c>
      <c r="AW4" s="1" t="n">
        <v>1</v>
      </c>
      <c r="AY4" s="6" t="n">
        <v>8</v>
      </c>
      <c r="AZ4" s="6"/>
      <c r="BA4" s="1" t="n">
        <f aca="false">AY4+AZ4/2</f>
        <v>8</v>
      </c>
      <c r="BB4" s="6" t="n">
        <v>9.25</v>
      </c>
      <c r="BC4" s="8" t="n">
        <f aca="false">ROUND(AVERAGE(AJ4,AK4,AM4,AO4,AQ4,AS4,AU4,AW4,BA4,BB4),0)</f>
        <v>4</v>
      </c>
      <c r="BD4" s="8" t="n">
        <f aca="false">ROUND(AVERAGE(AF4,BC4),0)</f>
        <v>3</v>
      </c>
    </row>
    <row r="5" customFormat="false" ht="15.65" hidden="true" customHeight="false" outlineLevel="0" collapsed="false">
      <c r="A5" s="1" t="n">
        <v>3</v>
      </c>
      <c r="B5" s="17" t="s">
        <v>26</v>
      </c>
      <c r="C5" s="1" t="n">
        <v>6</v>
      </c>
      <c r="E5" s="1" t="n">
        <v>7</v>
      </c>
      <c r="G5" s="1" t="n">
        <v>10</v>
      </c>
      <c r="I5" s="1" t="n">
        <v>10</v>
      </c>
      <c r="K5" s="1" t="n">
        <v>8</v>
      </c>
      <c r="M5" s="1" t="n">
        <v>8</v>
      </c>
      <c r="O5" s="1" t="n">
        <v>8</v>
      </c>
      <c r="Q5" s="1" t="n">
        <v>9</v>
      </c>
      <c r="S5" s="1" t="n">
        <v>1</v>
      </c>
      <c r="T5" s="1" t="n">
        <f aca="false">Q5+S5/2</f>
        <v>9.5</v>
      </c>
      <c r="U5" s="8" t="n">
        <f aca="false">ROUND(AVERAGE(M5,O5,T5),0)</f>
        <v>9</v>
      </c>
      <c r="V5" s="8" t="str">
        <f aca="false">IF(U5&lt;7,"TEP","TEA")</f>
        <v>TEA</v>
      </c>
      <c r="W5" s="8" t="n">
        <v>9</v>
      </c>
      <c r="X5" s="8"/>
      <c r="Y5" s="8" t="n">
        <v>10</v>
      </c>
      <c r="Z5" s="8"/>
      <c r="AA5" s="8" t="n">
        <v>8</v>
      </c>
      <c r="AB5" s="8"/>
      <c r="AC5" s="8" t="n">
        <v>8</v>
      </c>
      <c r="AD5" s="8"/>
      <c r="AE5" s="1" t="n">
        <f aca="false">AC5+AD5/2</f>
        <v>8</v>
      </c>
      <c r="AF5" s="8" t="n">
        <f aca="false">ROUND(AVERAGE(AE5,AA5,Y5,W5,U5),0)</f>
        <v>9</v>
      </c>
      <c r="AH5" s="1" t="s">
        <v>19</v>
      </c>
      <c r="AJ5" s="1" t="n">
        <v>10</v>
      </c>
      <c r="AK5" s="1" t="n">
        <v>10</v>
      </c>
      <c r="AL5" s="6" t="s">
        <v>142</v>
      </c>
      <c r="AM5" s="1" t="n">
        <v>10</v>
      </c>
      <c r="AN5" s="6" t="s">
        <v>143</v>
      </c>
      <c r="AO5" s="1" t="n">
        <v>10</v>
      </c>
      <c r="AQ5" s="2" t="n">
        <v>6</v>
      </c>
      <c r="AR5" s="6" t="s">
        <v>144</v>
      </c>
      <c r="AS5" s="1" t="n">
        <v>6</v>
      </c>
      <c r="AT5" s="6" t="s">
        <v>145</v>
      </c>
      <c r="AU5" s="21" t="n">
        <v>1</v>
      </c>
      <c r="AW5" s="21" t="n">
        <v>3</v>
      </c>
      <c r="AX5" s="3" t="s">
        <v>146</v>
      </c>
      <c r="AY5" s="1" t="n">
        <v>8</v>
      </c>
      <c r="BA5" s="1" t="n">
        <f aca="false">AY5+AZ5/2</f>
        <v>8</v>
      </c>
      <c r="BB5" s="1" t="n">
        <v>9.5</v>
      </c>
      <c r="BC5" s="8" t="n">
        <f aca="false">ROUND(AVERAGE(AJ5,AK5,AM5,AO5,AQ5,AS5,AU5,AW5,BA5),0)</f>
        <v>7</v>
      </c>
      <c r="BD5" s="8" t="n">
        <f aca="false">ROUND(AVERAGE(AF5,BC5),0)</f>
        <v>8</v>
      </c>
    </row>
    <row r="6" customFormat="false" ht="15.65" hidden="true" customHeight="false" outlineLevel="0" collapsed="false">
      <c r="A6" s="1" t="n">
        <v>4</v>
      </c>
      <c r="B6" s="17" t="s">
        <v>29</v>
      </c>
      <c r="C6" s="1" t="n">
        <v>6</v>
      </c>
      <c r="E6" s="14" t="n">
        <v>6</v>
      </c>
      <c r="F6" s="20" t="n">
        <v>45940</v>
      </c>
      <c r="G6" s="14" t="n">
        <v>8</v>
      </c>
      <c r="H6" s="20" t="n">
        <v>45848</v>
      </c>
      <c r="I6" s="14" t="n">
        <v>6</v>
      </c>
      <c r="J6" s="20" t="n">
        <v>45848</v>
      </c>
      <c r="K6" s="14" t="n">
        <v>8</v>
      </c>
      <c r="L6" s="20" t="n">
        <v>45848</v>
      </c>
      <c r="M6" s="1" t="n">
        <v>2</v>
      </c>
      <c r="O6" s="14" t="n">
        <v>8</v>
      </c>
      <c r="P6" s="20" t="n">
        <v>45848</v>
      </c>
      <c r="Q6" s="14" t="n">
        <v>6</v>
      </c>
      <c r="R6" s="20" t="n">
        <v>45848</v>
      </c>
      <c r="S6" s="23" t="n">
        <v>15</v>
      </c>
      <c r="T6" s="1" t="n">
        <f aca="false">Q6+S6/2</f>
        <v>13.5</v>
      </c>
      <c r="U6" s="8" t="n">
        <f aca="false">ROUND(AVERAGE(M6,O6,T6),0)</f>
        <v>8</v>
      </c>
      <c r="V6" s="8" t="str">
        <f aca="false">IF(U6&lt;7,"TEP","TEA")</f>
        <v>TEA</v>
      </c>
      <c r="W6" s="23" t="n">
        <v>8</v>
      </c>
      <c r="X6" s="20" t="n">
        <v>45848</v>
      </c>
      <c r="Y6" s="23" t="n">
        <v>8</v>
      </c>
      <c r="Z6" s="20" t="n">
        <v>45848</v>
      </c>
      <c r="AA6" s="24" t="n">
        <v>7</v>
      </c>
      <c r="AB6" s="25" t="n">
        <v>45848</v>
      </c>
      <c r="AC6" s="8" t="n">
        <v>3</v>
      </c>
      <c r="AD6" s="8"/>
      <c r="AE6" s="1" t="n">
        <f aca="false">AC6+AD6/2</f>
        <v>3</v>
      </c>
      <c r="AF6" s="8" t="n">
        <f aca="false">ROUND(AVERAGE(AE6,AA6,Y6,W6,U6),0)</f>
        <v>7</v>
      </c>
      <c r="AH6" s="1" t="s">
        <v>19</v>
      </c>
      <c r="AJ6" s="1" t="n">
        <v>10</v>
      </c>
      <c r="AK6" s="1" t="n">
        <v>7</v>
      </c>
      <c r="AL6" s="6" t="s">
        <v>147</v>
      </c>
      <c r="AM6" s="1" t="n">
        <v>7</v>
      </c>
      <c r="AN6" s="6" t="s">
        <v>148</v>
      </c>
      <c r="AO6" s="1" t="n">
        <v>7</v>
      </c>
      <c r="AP6" s="1" t="s">
        <v>147</v>
      </c>
      <c r="AQ6" s="1" t="n">
        <v>7</v>
      </c>
      <c r="AR6" s="6" t="s">
        <v>147</v>
      </c>
      <c r="AS6" s="1" t="n">
        <v>5</v>
      </c>
      <c r="AT6" s="6" t="s">
        <v>149</v>
      </c>
      <c r="AU6" s="1" t="n">
        <v>6</v>
      </c>
      <c r="AV6" s="6" t="s">
        <v>150</v>
      </c>
      <c r="AW6" s="1" t="n">
        <v>7</v>
      </c>
      <c r="AX6" s="5" t="s">
        <v>151</v>
      </c>
      <c r="AY6" s="3" t="n">
        <v>4</v>
      </c>
      <c r="AZ6" s="3"/>
      <c r="BA6" s="1" t="n">
        <f aca="false">AY6+AZ6/2</f>
        <v>4</v>
      </c>
      <c r="BB6" s="3"/>
      <c r="BC6" s="8" t="n">
        <f aca="false">ROUND(AVERAGE(AJ6,AK6,AM6,AO6,AQ6,AS6,AU6,AW6,BA6),0)</f>
        <v>7</v>
      </c>
      <c r="BD6" s="8" t="n">
        <f aca="false">ROUND(AVERAGE(AF6,BC6),0)</f>
        <v>7</v>
      </c>
    </row>
    <row r="7" customFormat="false" ht="15.65" hidden="false" customHeight="false" outlineLevel="0" collapsed="false">
      <c r="A7" s="1" t="n">
        <v>5</v>
      </c>
      <c r="B7" s="19" t="s">
        <v>32</v>
      </c>
      <c r="C7" s="1" t="n">
        <v>1</v>
      </c>
      <c r="E7" s="1" t="n">
        <v>1</v>
      </c>
      <c r="G7" s="1" t="n">
        <v>1</v>
      </c>
      <c r="I7" s="1" t="n">
        <v>1</v>
      </c>
      <c r="K7" s="1" t="n">
        <v>10</v>
      </c>
      <c r="M7" s="1" t="n">
        <v>10</v>
      </c>
      <c r="O7" s="1" t="n">
        <v>10</v>
      </c>
      <c r="Q7" s="1" t="n">
        <v>9</v>
      </c>
      <c r="S7" s="1" t="n">
        <v>0</v>
      </c>
      <c r="T7" s="1" t="n">
        <f aca="false">Q7+S7/2</f>
        <v>9</v>
      </c>
      <c r="U7" s="8" t="n">
        <f aca="false">ROUND(AVERAGE(M7,O7,T7),0)</f>
        <v>10</v>
      </c>
      <c r="V7" s="8" t="str">
        <f aca="false">IF(U7&lt;7,"TEP","TEA")</f>
        <v>TEA</v>
      </c>
      <c r="W7" s="8" t="n">
        <v>10</v>
      </c>
      <c r="X7" s="8"/>
      <c r="Y7" s="8" t="n">
        <v>9</v>
      </c>
      <c r="Z7" s="8"/>
      <c r="AA7" s="8" t="n">
        <v>7</v>
      </c>
      <c r="AB7" s="8"/>
      <c r="AC7" s="8" t="n">
        <v>8</v>
      </c>
      <c r="AD7" s="8"/>
      <c r="AE7" s="1" t="n">
        <f aca="false">AC7+AD7/2</f>
        <v>8</v>
      </c>
      <c r="AF7" s="8" t="n">
        <f aca="false">ROUND(AVERAGE(AE7,AA7,Y7,W7,U7),0)</f>
        <v>9</v>
      </c>
      <c r="AH7" s="1" t="s">
        <v>18</v>
      </c>
      <c r="AJ7" s="1" t="n">
        <v>7</v>
      </c>
      <c r="AK7" s="26" t="n">
        <v>7</v>
      </c>
      <c r="AL7" s="27" t="s">
        <v>152</v>
      </c>
      <c r="AM7" s="1" t="n">
        <v>1</v>
      </c>
      <c r="AO7" s="1" t="n">
        <v>1</v>
      </c>
      <c r="AQ7" s="1" t="n">
        <v>1</v>
      </c>
      <c r="AS7" s="1" t="n">
        <v>1</v>
      </c>
      <c r="AU7" s="1" t="n">
        <v>1</v>
      </c>
      <c r="AW7" s="1" t="n">
        <v>1</v>
      </c>
      <c r="AY7" s="3" t="n">
        <v>9</v>
      </c>
      <c r="AZ7" s="3"/>
      <c r="BA7" s="1" t="n">
        <f aca="false">AY7+AZ7/2</f>
        <v>9</v>
      </c>
      <c r="BB7" s="3" t="n">
        <v>9.5</v>
      </c>
      <c r="BC7" s="8" t="n">
        <f aca="false">ROUND(AVERAGE(AJ7,AK7,AM7,AO7,AQ7,AS7,AU7,AW7,BA7,BB7),0)</f>
        <v>4</v>
      </c>
      <c r="BD7" s="8" t="n">
        <v>4</v>
      </c>
      <c r="BF7" s="3" t="s">
        <v>152</v>
      </c>
    </row>
    <row r="8" s="1" customFormat="true" ht="15.65" hidden="false" customHeight="false" outlineLevel="0" collapsed="false">
      <c r="A8" s="1" t="n">
        <v>6</v>
      </c>
      <c r="B8" s="19" t="s">
        <v>35</v>
      </c>
      <c r="C8" s="1" t="n">
        <v>1</v>
      </c>
      <c r="E8" s="1" t="n">
        <v>1</v>
      </c>
      <c r="G8" s="1" t="n">
        <v>1</v>
      </c>
      <c r="I8" s="1" t="n">
        <v>1</v>
      </c>
      <c r="K8" s="1" t="n">
        <v>1</v>
      </c>
      <c r="M8" s="1" t="n">
        <v>1</v>
      </c>
      <c r="O8" s="1" t="n">
        <v>1</v>
      </c>
      <c r="Q8" s="1" t="n">
        <v>1</v>
      </c>
      <c r="S8" s="1" t="n">
        <v>0</v>
      </c>
      <c r="T8" s="1" t="n">
        <f aca="false">Q8+S8/2</f>
        <v>1</v>
      </c>
      <c r="U8" s="8" t="n">
        <f aca="false">ROUND(AVERAGE(C8,E8,G8,I8,K8,M8,O8,T8),0)</f>
        <v>1</v>
      </c>
      <c r="V8" s="8" t="str">
        <f aca="false">IF(U8&lt;7,"TEP","TEA")</f>
        <v>TEP</v>
      </c>
      <c r="W8" s="8" t="n">
        <v>9</v>
      </c>
      <c r="X8" s="8"/>
      <c r="Y8" s="8" t="n">
        <v>1</v>
      </c>
      <c r="Z8" s="8"/>
      <c r="AA8" s="8" t="n">
        <v>1</v>
      </c>
      <c r="AB8" s="8"/>
      <c r="AC8" s="8" t="n">
        <v>0</v>
      </c>
      <c r="AD8" s="8"/>
      <c r="AE8" s="1" t="n">
        <f aca="false">AC8+AD8/2</f>
        <v>0</v>
      </c>
      <c r="AF8" s="8" t="n">
        <f aca="false">ROUND(AVERAGE(AE8,AA8,Y8,W8,U8),0)</f>
        <v>2</v>
      </c>
      <c r="AH8" s="1" t="s">
        <v>18</v>
      </c>
      <c r="AI8" s="1" t="s">
        <v>19</v>
      </c>
      <c r="AJ8" s="1" t="n">
        <v>7</v>
      </c>
      <c r="AK8" s="1" t="n">
        <v>6</v>
      </c>
      <c r="AL8" s="1" t="s">
        <v>153</v>
      </c>
      <c r="AM8" s="1" t="n">
        <v>6</v>
      </c>
      <c r="AN8" s="1" t="s">
        <v>154</v>
      </c>
      <c r="AO8" s="1" t="n">
        <v>6</v>
      </c>
      <c r="AP8" s="1" t="s">
        <v>154</v>
      </c>
      <c r="AQ8" s="1" t="n">
        <v>6</v>
      </c>
      <c r="AS8" s="1" t="n">
        <v>5</v>
      </c>
      <c r="AT8" s="1" t="s">
        <v>155</v>
      </c>
      <c r="AU8" s="28" t="n">
        <v>1</v>
      </c>
      <c r="AW8" s="1" t="n">
        <v>1</v>
      </c>
      <c r="AY8" s="1" t="n">
        <v>3</v>
      </c>
      <c r="BA8" s="1" t="n">
        <f aca="false">AY8+AZ8/2</f>
        <v>3</v>
      </c>
      <c r="BB8" s="1" t="n">
        <v>1</v>
      </c>
      <c r="BC8" s="8" t="n">
        <f aca="false">ROUND(AVERAGE(AJ8,AK8,AM8,AO8,AQ8,AS8,AU8,AW8,BA8,BB8),0)</f>
        <v>4</v>
      </c>
      <c r="BD8" s="8" t="n">
        <f aca="false">ROUND(AVERAGE(AF8,BC8),0)</f>
        <v>3</v>
      </c>
    </row>
    <row r="9" customFormat="false" ht="15.65" hidden="true" customHeight="false" outlineLevel="0" collapsed="false">
      <c r="A9" s="1" t="n">
        <v>7</v>
      </c>
      <c r="B9" s="17" t="s">
        <v>38</v>
      </c>
      <c r="C9" s="1" t="n">
        <v>8</v>
      </c>
      <c r="E9" s="1" t="n">
        <v>8</v>
      </c>
      <c r="G9" s="1" t="n">
        <v>9</v>
      </c>
      <c r="I9" s="18" t="n">
        <v>7</v>
      </c>
      <c r="J9" s="4" t="n">
        <v>45784</v>
      </c>
      <c r="K9" s="1" t="n">
        <v>8</v>
      </c>
      <c r="M9" s="1" t="n">
        <v>8</v>
      </c>
      <c r="O9" s="1" t="n">
        <v>10</v>
      </c>
      <c r="Q9" s="1" t="n">
        <v>10</v>
      </c>
      <c r="S9" s="1" t="n">
        <v>0</v>
      </c>
      <c r="T9" s="1" t="n">
        <f aca="false">Q9+S9/2</f>
        <v>10</v>
      </c>
      <c r="U9" s="8" t="n">
        <f aca="false">ROUND(AVERAGE(M9,O9,T9),0)</f>
        <v>9</v>
      </c>
      <c r="V9" s="8" t="str">
        <f aca="false">IF(U9&lt;7,"TEP","TEA")</f>
        <v>TEA</v>
      </c>
      <c r="W9" s="8" t="n">
        <v>10</v>
      </c>
      <c r="X9" s="8"/>
      <c r="Y9" s="23" t="n">
        <v>9</v>
      </c>
      <c r="Z9" s="20" t="n">
        <v>45849</v>
      </c>
      <c r="AA9" s="23" t="n">
        <v>7</v>
      </c>
      <c r="AB9" s="20" t="n">
        <v>45849</v>
      </c>
      <c r="AC9" s="8" t="n">
        <v>7</v>
      </c>
      <c r="AD9" s="8"/>
      <c r="AE9" s="1" t="n">
        <f aca="false">AC9+AD9/2</f>
        <v>7</v>
      </c>
      <c r="AF9" s="8" t="n">
        <f aca="false">ROUND(AVERAGE(AE9,AA9,Y9,W9,U9),0)</f>
        <v>8</v>
      </c>
      <c r="AH9" s="1" t="s">
        <v>19</v>
      </c>
      <c r="AJ9" s="1" t="n">
        <v>7</v>
      </c>
      <c r="AK9" s="1" t="n">
        <v>7</v>
      </c>
      <c r="AL9" s="6" t="s">
        <v>156</v>
      </c>
      <c r="AM9" s="1" t="n">
        <v>7</v>
      </c>
      <c r="AN9" s="6" t="s">
        <v>156</v>
      </c>
      <c r="AO9" s="1" t="n">
        <v>7</v>
      </c>
      <c r="AP9" s="6" t="s">
        <v>157</v>
      </c>
      <c r="AQ9" s="1" t="n">
        <v>6</v>
      </c>
      <c r="AR9" s="6" t="s">
        <v>158</v>
      </c>
      <c r="AS9" s="1" t="n">
        <v>5</v>
      </c>
      <c r="AT9" s="6" t="s">
        <v>159</v>
      </c>
      <c r="AU9" s="1" t="n">
        <v>7</v>
      </c>
      <c r="AV9" s="6" t="s">
        <v>156</v>
      </c>
      <c r="AW9" s="21" t="n">
        <v>5</v>
      </c>
      <c r="AX9" s="3" t="s">
        <v>160</v>
      </c>
      <c r="AY9" s="2" t="n">
        <v>9</v>
      </c>
      <c r="AZ9" s="2"/>
      <c r="BA9" s="1" t="n">
        <f aca="false">AY9+AZ9/2</f>
        <v>9</v>
      </c>
      <c r="BB9" s="2"/>
      <c r="BC9" s="8" t="n">
        <f aca="false">ROUND(AVERAGE(AJ9,AK9,AM9,AO9,AQ9,AS9,AU9,AW9,BA9),0)</f>
        <v>7</v>
      </c>
      <c r="BD9" s="8" t="n">
        <f aca="false">ROUND(AVERAGE(AF9,BC9),0)</f>
        <v>8</v>
      </c>
    </row>
    <row r="10" customFormat="false" ht="15.65" hidden="true" customHeight="false" outlineLevel="0" collapsed="false">
      <c r="A10" s="1" t="n">
        <v>8</v>
      </c>
      <c r="B10" s="17" t="s">
        <v>41</v>
      </c>
      <c r="C10" s="1" t="n">
        <v>9</v>
      </c>
      <c r="E10" s="14" t="n">
        <v>7</v>
      </c>
      <c r="F10" s="20" t="n">
        <v>45846</v>
      </c>
      <c r="G10" s="14" t="n">
        <v>7</v>
      </c>
      <c r="H10" s="20" t="n">
        <v>45846</v>
      </c>
      <c r="I10" s="14" t="n">
        <v>7</v>
      </c>
      <c r="J10" s="20" t="n">
        <v>45846</v>
      </c>
      <c r="K10" s="14" t="n">
        <v>7</v>
      </c>
      <c r="L10" s="20" t="n">
        <v>45848</v>
      </c>
      <c r="M10" s="1" t="n">
        <v>1</v>
      </c>
      <c r="O10" s="14" t="n">
        <v>8</v>
      </c>
      <c r="P10" s="20" t="n">
        <v>45848</v>
      </c>
      <c r="Q10" s="14" t="n">
        <v>8</v>
      </c>
      <c r="R10" s="20" t="n">
        <v>45848</v>
      </c>
      <c r="S10" s="1" t="n">
        <v>0</v>
      </c>
      <c r="T10" s="1" t="n">
        <f aca="false">Q10+S10/2</f>
        <v>8</v>
      </c>
      <c r="U10" s="8" t="n">
        <f aca="false">ROUND(AVERAGE(M10,O10,T10),0)</f>
        <v>6</v>
      </c>
      <c r="V10" s="8" t="str">
        <f aca="false">IF(U10&lt;7,"TEP","TEA")</f>
        <v>TEP</v>
      </c>
      <c r="W10" s="23" t="n">
        <v>7</v>
      </c>
      <c r="X10" s="20" t="n">
        <v>45848</v>
      </c>
      <c r="Y10" s="23" t="n">
        <v>8</v>
      </c>
      <c r="Z10" s="20" t="n">
        <v>45848</v>
      </c>
      <c r="AA10" s="23" t="n">
        <v>6</v>
      </c>
      <c r="AB10" s="20" t="n">
        <v>45848</v>
      </c>
      <c r="AC10" s="8" t="n">
        <v>8</v>
      </c>
      <c r="AD10" s="8"/>
      <c r="AE10" s="1" t="n">
        <f aca="false">AC10+AD10/2</f>
        <v>8</v>
      </c>
      <c r="AF10" s="8" t="n">
        <f aca="false">ROUND(AVERAGE(AE10,AA10,Y10,W10,U10),0)</f>
        <v>7</v>
      </c>
      <c r="AH10" s="1" t="s">
        <v>19</v>
      </c>
      <c r="AJ10" s="1" t="n">
        <v>7</v>
      </c>
      <c r="AK10" s="1" t="n">
        <v>7</v>
      </c>
      <c r="AL10" s="6" t="s">
        <v>161</v>
      </c>
      <c r="AM10" s="1" t="n">
        <v>5</v>
      </c>
      <c r="AN10" s="1" t="s">
        <v>162</v>
      </c>
      <c r="AO10" s="1" t="n">
        <v>7</v>
      </c>
      <c r="AP10" s="1" t="s">
        <v>161</v>
      </c>
      <c r="AQ10" s="1" t="n">
        <v>7</v>
      </c>
      <c r="AR10" s="1" t="s">
        <v>161</v>
      </c>
      <c r="AS10" s="1" t="n">
        <v>7</v>
      </c>
      <c r="AT10" s="1" t="s">
        <v>161</v>
      </c>
      <c r="AU10" s="1" t="n">
        <v>6</v>
      </c>
      <c r="AV10" s="1" t="s">
        <v>163</v>
      </c>
      <c r="AW10" s="1" t="n">
        <v>7</v>
      </c>
      <c r="AX10" s="3" t="s">
        <v>164</v>
      </c>
      <c r="AY10" s="3" t="n">
        <v>6</v>
      </c>
      <c r="AZ10" s="3"/>
      <c r="BA10" s="1" t="n">
        <f aca="false">AY10+AZ10/2</f>
        <v>6</v>
      </c>
      <c r="BB10" s="3"/>
      <c r="BC10" s="8" t="n">
        <f aca="false">ROUND(AVERAGE(AJ10,AK10,AM10,AO10,AQ10,AS10,AU10,AW10,BA10),0)</f>
        <v>7</v>
      </c>
      <c r="BD10" s="8" t="n">
        <f aca="false">ROUND(AVERAGE(AF10,BC10),0)</f>
        <v>7</v>
      </c>
    </row>
    <row r="11" customFormat="false" ht="15.65" hidden="true" customHeight="false" outlineLevel="0" collapsed="false">
      <c r="A11" s="1" t="n">
        <v>9</v>
      </c>
      <c r="B11" s="17" t="s">
        <v>44</v>
      </c>
      <c r="C11" s="1" t="n">
        <v>10</v>
      </c>
      <c r="E11" s="1" t="n">
        <v>9</v>
      </c>
      <c r="G11" s="1" t="n">
        <v>10</v>
      </c>
      <c r="I11" s="1" t="n">
        <v>9</v>
      </c>
      <c r="K11" s="1" t="n">
        <v>8</v>
      </c>
      <c r="M11" s="1" t="n">
        <v>10</v>
      </c>
      <c r="O11" s="1" t="n">
        <v>8</v>
      </c>
      <c r="Q11" s="1" t="n">
        <v>10</v>
      </c>
      <c r="S11" s="1" t="n">
        <v>12</v>
      </c>
      <c r="T11" s="1" t="n">
        <f aca="false">Q11+S11/2</f>
        <v>16</v>
      </c>
      <c r="U11" s="8" t="n">
        <f aca="false">ROUND(AVERAGE(M11,O11,T11),0)</f>
        <v>11</v>
      </c>
      <c r="V11" s="8" t="str">
        <f aca="false">IF(U11&lt;7,"TEP","TEA")</f>
        <v>TEA</v>
      </c>
      <c r="W11" s="23" t="n">
        <v>8</v>
      </c>
      <c r="X11" s="20" t="n">
        <v>45848</v>
      </c>
      <c r="Y11" s="23" t="n">
        <v>9</v>
      </c>
      <c r="Z11" s="20" t="n">
        <v>45849</v>
      </c>
      <c r="AA11" s="23" t="n">
        <v>8</v>
      </c>
      <c r="AB11" s="20" t="n">
        <v>45848</v>
      </c>
      <c r="AC11" s="8" t="n">
        <v>10</v>
      </c>
      <c r="AD11" s="8"/>
      <c r="AE11" s="1" t="n">
        <f aca="false">AC11+AD11/2</f>
        <v>10</v>
      </c>
      <c r="AF11" s="8" t="n">
        <f aca="false">ROUND(AVERAGE(AE11,AA11,Y11,W11,U11),0)</f>
        <v>9</v>
      </c>
      <c r="AH11" s="1" t="s">
        <v>19</v>
      </c>
      <c r="AJ11" s="1" t="n">
        <v>10</v>
      </c>
      <c r="AK11" s="1" t="n">
        <v>10</v>
      </c>
      <c r="AM11" s="1" t="n">
        <v>10</v>
      </c>
      <c r="AN11" s="1" t="s">
        <v>165</v>
      </c>
      <c r="AO11" s="1" t="n">
        <v>10</v>
      </c>
      <c r="AQ11" s="1" t="n">
        <v>9</v>
      </c>
      <c r="AS11" s="1" t="n">
        <v>9</v>
      </c>
      <c r="AU11" s="1" t="n">
        <v>10</v>
      </c>
      <c r="AW11" s="1" t="n">
        <v>10</v>
      </c>
      <c r="AX11" s="4" t="n">
        <v>45902</v>
      </c>
      <c r="AY11" s="3" t="n">
        <v>9</v>
      </c>
      <c r="AZ11" s="3"/>
      <c r="BA11" s="1" t="n">
        <f aca="false">AY11+AZ11/2</f>
        <v>9</v>
      </c>
      <c r="BB11" s="3"/>
      <c r="BC11" s="8" t="n">
        <f aca="false">ROUND(AVERAGE(AJ11,AK11,AM11,AO11,AQ11,AS11,AU11,AW11,BA11),0)</f>
        <v>10</v>
      </c>
      <c r="BD11" s="8" t="n">
        <f aca="false">ROUND(AVERAGE(AF11,BC11),0)</f>
        <v>10</v>
      </c>
    </row>
    <row r="12" s="1" customFormat="true" ht="15.65" hidden="true" customHeight="false" outlineLevel="0" collapsed="false">
      <c r="A12" s="1" t="n">
        <v>10</v>
      </c>
      <c r="B12" s="17" t="s">
        <v>47</v>
      </c>
      <c r="C12" s="1" t="n">
        <v>10</v>
      </c>
      <c r="E12" s="1" t="n">
        <v>7</v>
      </c>
      <c r="F12" s="4" t="n">
        <v>45783</v>
      </c>
      <c r="G12" s="1" t="n">
        <v>6</v>
      </c>
      <c r="H12" s="4" t="n">
        <v>45783</v>
      </c>
      <c r="I12" s="1" t="n">
        <v>6</v>
      </c>
      <c r="J12" s="4" t="n">
        <v>45784</v>
      </c>
      <c r="K12" s="1" t="n">
        <v>9</v>
      </c>
      <c r="L12" s="4" t="n">
        <v>45783</v>
      </c>
      <c r="M12" s="1" t="n">
        <v>7</v>
      </c>
      <c r="N12" s="4" t="n">
        <v>45783</v>
      </c>
      <c r="O12" s="1" t="n">
        <v>9</v>
      </c>
      <c r="P12" s="4" t="n">
        <v>45784</v>
      </c>
      <c r="Q12" s="1" t="n">
        <v>9</v>
      </c>
      <c r="R12" s="4" t="n">
        <v>45783</v>
      </c>
      <c r="S12" s="1" t="n">
        <v>0</v>
      </c>
      <c r="T12" s="1" t="n">
        <f aca="false">Q12+S12/2</f>
        <v>9</v>
      </c>
      <c r="U12" s="8" t="n">
        <f aca="false">ROUND(AVERAGE(M12,O12,T12),0)</f>
        <v>8</v>
      </c>
      <c r="V12" s="8" t="str">
        <f aca="false">IF(U12&lt;7,"TEP","TEA")</f>
        <v>TEA</v>
      </c>
      <c r="W12" s="8" t="n">
        <v>8</v>
      </c>
      <c r="X12" s="4" t="n">
        <v>45848</v>
      </c>
      <c r="Y12" s="8" t="n">
        <v>8</v>
      </c>
      <c r="Z12" s="4" t="n">
        <v>45848</v>
      </c>
      <c r="AA12" s="8" t="n">
        <v>1</v>
      </c>
      <c r="AB12" s="8"/>
      <c r="AC12" s="8" t="n">
        <v>7</v>
      </c>
      <c r="AD12" s="8" t="n">
        <v>10</v>
      </c>
      <c r="AE12" s="1" t="n">
        <f aca="false">AC12+AD12/2</f>
        <v>12</v>
      </c>
      <c r="AF12" s="8" t="n">
        <f aca="false">ROUND(AVERAGE(AE12,AA12,Y12,W12,U12),0)</f>
        <v>7</v>
      </c>
      <c r="AH12" s="1" t="s">
        <v>18</v>
      </c>
      <c r="AI12" s="1" t="s">
        <v>19</v>
      </c>
      <c r="AJ12" s="1" t="n">
        <v>7</v>
      </c>
      <c r="AK12" s="1" t="n">
        <v>7</v>
      </c>
      <c r="AL12" s="3" t="s">
        <v>166</v>
      </c>
      <c r="AM12" s="1" t="n">
        <v>7</v>
      </c>
      <c r="AN12" s="3" t="s">
        <v>166</v>
      </c>
      <c r="AO12" s="1" t="n">
        <v>7</v>
      </c>
      <c r="AP12" s="1" t="s">
        <v>166</v>
      </c>
      <c r="AQ12" s="1" t="n">
        <v>7</v>
      </c>
      <c r="AR12" s="4" t="n">
        <v>45988</v>
      </c>
      <c r="AS12" s="1" t="n">
        <v>7</v>
      </c>
      <c r="AT12" s="4" t="n">
        <v>45988</v>
      </c>
      <c r="AU12" s="1" t="n">
        <v>1</v>
      </c>
      <c r="AV12" s="1" t="s">
        <v>167</v>
      </c>
      <c r="AW12" s="1" t="n">
        <v>7</v>
      </c>
      <c r="AX12" s="29" t="n">
        <v>45988</v>
      </c>
      <c r="AY12" s="3" t="n">
        <v>10</v>
      </c>
      <c r="AZ12" s="3" t="n">
        <v>10</v>
      </c>
      <c r="BA12" s="1" t="n">
        <f aca="false">AY12+AZ12/2</f>
        <v>15</v>
      </c>
      <c r="BB12" s="3" t="n">
        <v>9</v>
      </c>
      <c r="BC12" s="8" t="n">
        <f aca="false">ROUND(AVERAGE(AJ12,AK12,AM12,AO12,AQ12,AS12,AU12,AW12,BA12,BB12),0)</f>
        <v>7</v>
      </c>
      <c r="BD12" s="8" t="n">
        <f aca="false">ROUND(AVERAGE(AF12,BC12),0)</f>
        <v>7</v>
      </c>
      <c r="BF12" s="1" t="n">
        <v>6</v>
      </c>
    </row>
    <row r="13" customFormat="false" ht="15.65" hidden="true" customHeight="false" outlineLevel="0" collapsed="false">
      <c r="A13" s="1" t="n">
        <v>26</v>
      </c>
      <c r="B13" s="17" t="s">
        <v>50</v>
      </c>
      <c r="C13" s="1" t="n">
        <v>0</v>
      </c>
      <c r="E13" s="1" t="n">
        <v>7</v>
      </c>
      <c r="G13" s="1" t="n">
        <v>9</v>
      </c>
      <c r="I13" s="1" t="n">
        <v>1</v>
      </c>
      <c r="K13" s="1" t="n">
        <v>9</v>
      </c>
      <c r="M13" s="1" t="n">
        <v>10</v>
      </c>
      <c r="O13" s="1" t="n">
        <v>9</v>
      </c>
      <c r="Q13" s="1" t="n">
        <v>10</v>
      </c>
      <c r="S13" s="1" t="n">
        <v>1</v>
      </c>
      <c r="T13" s="1" t="n">
        <f aca="false">Q13+S13/2</f>
        <v>10.5</v>
      </c>
      <c r="U13" s="8" t="n">
        <f aca="false">ROUND(AVERAGE(M13,O13,T13),0)</f>
        <v>10</v>
      </c>
      <c r="V13" s="8" t="str">
        <f aca="false">IF(U13&lt;7,"TEP","TEA")</f>
        <v>TEA</v>
      </c>
      <c r="W13" s="8" t="n">
        <v>8</v>
      </c>
      <c r="X13" s="8"/>
      <c r="Y13" s="8" t="n">
        <v>10</v>
      </c>
      <c r="Z13" s="8"/>
      <c r="AA13" s="8" t="n">
        <v>9</v>
      </c>
      <c r="AB13" s="8"/>
      <c r="AC13" s="8" t="n">
        <v>7</v>
      </c>
      <c r="AD13" s="8"/>
      <c r="AE13" s="1" t="n">
        <f aca="false">AC13+AD13/2</f>
        <v>7</v>
      </c>
      <c r="AF13" s="8" t="n">
        <f aca="false">ROUND(AVERAGE(AE13,AA13,Y13,W13,U13),0)</f>
        <v>9</v>
      </c>
      <c r="AH13" s="1" t="s">
        <v>19</v>
      </c>
      <c r="AJ13" s="1" t="n">
        <v>9</v>
      </c>
      <c r="AK13" s="1" t="n">
        <v>7</v>
      </c>
      <c r="AL13" s="5" t="s">
        <v>168</v>
      </c>
      <c r="AM13" s="1" t="n">
        <v>7</v>
      </c>
      <c r="AN13" s="6" t="s">
        <v>169</v>
      </c>
      <c r="AO13" s="1" t="n">
        <v>7</v>
      </c>
      <c r="AP13" s="1" t="s">
        <v>170</v>
      </c>
      <c r="AQ13" s="1" t="n">
        <v>7</v>
      </c>
      <c r="AR13" s="1" t="s">
        <v>171</v>
      </c>
      <c r="AS13" s="1" t="n">
        <v>7</v>
      </c>
      <c r="AT13" s="1" t="s">
        <v>171</v>
      </c>
      <c r="AU13" s="1" t="n">
        <v>7</v>
      </c>
      <c r="AV13" s="1" t="s">
        <v>171</v>
      </c>
      <c r="AW13" s="1" t="n">
        <v>7</v>
      </c>
      <c r="AX13" s="3" t="s">
        <v>164</v>
      </c>
      <c r="AY13" s="3" t="n">
        <v>8</v>
      </c>
      <c r="AZ13" s="3"/>
      <c r="BA13" s="1" t="n">
        <f aca="false">AY13+AZ13/2</f>
        <v>8</v>
      </c>
      <c r="BB13" s="3"/>
      <c r="BC13" s="8" t="n">
        <f aca="false">ROUND(AVERAGE(AJ13,AK13,AM13,AO13,AQ13,AS13,AU13,AW13,BA13),0)</f>
        <v>7</v>
      </c>
      <c r="BD13" s="8" t="n">
        <f aca="false">ROUND(AVERAGE(AF13,BC13),0)</f>
        <v>8</v>
      </c>
    </row>
    <row r="14" customFormat="false" ht="15.65" hidden="true" customHeight="false" outlineLevel="0" collapsed="false">
      <c r="A14" s="1" t="n">
        <v>11</v>
      </c>
      <c r="B14" s="17" t="s">
        <v>53</v>
      </c>
      <c r="C14" s="2" t="n">
        <v>8</v>
      </c>
      <c r="D14" s="4" t="n">
        <v>45780</v>
      </c>
      <c r="E14" s="2" t="n">
        <v>8</v>
      </c>
      <c r="F14" s="4" t="n">
        <v>45780</v>
      </c>
      <c r="G14" s="2" t="n">
        <v>9</v>
      </c>
      <c r="H14" s="4" t="n">
        <v>45780</v>
      </c>
      <c r="I14" s="2" t="n">
        <v>5</v>
      </c>
      <c r="J14" s="4" t="n">
        <v>45780</v>
      </c>
      <c r="K14" s="1" t="n">
        <v>10</v>
      </c>
      <c r="M14" s="1" t="n">
        <v>9</v>
      </c>
      <c r="O14" s="1" t="n">
        <v>8</v>
      </c>
      <c r="Q14" s="1" t="n">
        <v>8</v>
      </c>
      <c r="S14" s="1" t="n">
        <v>1</v>
      </c>
      <c r="T14" s="1" t="n">
        <f aca="false">Q14+S14/2</f>
        <v>8.5</v>
      </c>
      <c r="U14" s="8" t="n">
        <f aca="false">ROUND(AVERAGE(M14,O14,T14),0)</f>
        <v>9</v>
      </c>
      <c r="V14" s="8" t="str">
        <f aca="false">IF(U14&lt;7,"TEP","TEA")</f>
        <v>TEA</v>
      </c>
      <c r="W14" s="23" t="n">
        <v>8</v>
      </c>
      <c r="X14" s="20" t="n">
        <v>45848</v>
      </c>
      <c r="Y14" s="23" t="n">
        <v>7</v>
      </c>
      <c r="Z14" s="20" t="n">
        <v>45848</v>
      </c>
      <c r="AA14" s="23" t="n">
        <v>7</v>
      </c>
      <c r="AB14" s="20" t="n">
        <v>45848</v>
      </c>
      <c r="AC14" s="8" t="n">
        <v>7</v>
      </c>
      <c r="AD14" s="8"/>
      <c r="AE14" s="1" t="n">
        <f aca="false">AC14+AD14/2</f>
        <v>7</v>
      </c>
      <c r="AF14" s="8" t="n">
        <f aca="false">ROUND(AVERAGE(AE14,AA14,Y14,W14,U14),0)</f>
        <v>8</v>
      </c>
      <c r="AH14" s="1" t="s">
        <v>19</v>
      </c>
      <c r="AJ14" s="1" t="n">
        <v>10</v>
      </c>
      <c r="AK14" s="1" t="n">
        <v>8</v>
      </c>
      <c r="AL14" s="17" t="s">
        <v>136</v>
      </c>
      <c r="AM14" s="1" t="n">
        <v>8</v>
      </c>
      <c r="AN14" s="17" t="s">
        <v>172</v>
      </c>
      <c r="AO14" s="1" t="n">
        <v>7</v>
      </c>
      <c r="AP14" s="6" t="s">
        <v>161</v>
      </c>
      <c r="AQ14" s="1" t="n">
        <v>7</v>
      </c>
      <c r="AR14" s="6" t="s">
        <v>161</v>
      </c>
      <c r="AS14" s="6" t="n">
        <v>5</v>
      </c>
      <c r="AT14" s="6" t="s">
        <v>173</v>
      </c>
      <c r="AU14" s="1" t="n">
        <v>7</v>
      </c>
      <c r="AV14" s="6" t="s">
        <v>140</v>
      </c>
      <c r="AW14" s="1" t="n">
        <v>7</v>
      </c>
      <c r="AX14" s="6" t="s">
        <v>174</v>
      </c>
      <c r="AY14" s="3" t="n">
        <v>3</v>
      </c>
      <c r="AZ14" s="3" t="n">
        <v>20</v>
      </c>
      <c r="BA14" s="1" t="n">
        <f aca="false">AY14+AZ14/2</f>
        <v>13</v>
      </c>
      <c r="BB14" s="3" t="n">
        <v>10</v>
      </c>
      <c r="BC14" s="8" t="n">
        <f aca="false">ROUND(AVERAGE(AJ14,AK14,AM14,AO14,AQ14,AS14,AU14,AW14,BA14,BB14),0)</f>
        <v>8</v>
      </c>
      <c r="BD14" s="8" t="n">
        <f aca="false">ROUND(AVERAGE(AF14,BC14),0)</f>
        <v>8</v>
      </c>
    </row>
    <row r="15" customFormat="false" ht="15.65" hidden="true" customHeight="false" outlineLevel="0" collapsed="false">
      <c r="A15" s="1" t="n">
        <v>12</v>
      </c>
      <c r="B15" s="17" t="s">
        <v>56</v>
      </c>
      <c r="C15" s="1" t="n">
        <v>10</v>
      </c>
      <c r="E15" s="1" t="n">
        <v>10</v>
      </c>
      <c r="G15" s="1" t="n">
        <v>9</v>
      </c>
      <c r="I15" s="1" t="n">
        <v>10</v>
      </c>
      <c r="K15" s="1" t="n">
        <v>10</v>
      </c>
      <c r="M15" s="1" t="n">
        <v>9</v>
      </c>
      <c r="O15" s="1" t="n">
        <v>8</v>
      </c>
      <c r="Q15" s="1" t="n">
        <v>7</v>
      </c>
      <c r="S15" s="1" t="n">
        <v>4</v>
      </c>
      <c r="T15" s="1" t="n">
        <f aca="false">Q15+S15/2</f>
        <v>9</v>
      </c>
      <c r="U15" s="8" t="n">
        <f aca="false">ROUND(AVERAGE(M15,O15,T15),0)</f>
        <v>9</v>
      </c>
      <c r="V15" s="8" t="str">
        <f aca="false">IF(U15&lt;7,"TEP","TEA")</f>
        <v>TEA</v>
      </c>
      <c r="W15" s="8" t="n">
        <v>10</v>
      </c>
      <c r="X15" s="8"/>
      <c r="Y15" s="8" t="n">
        <v>10</v>
      </c>
      <c r="Z15" s="8"/>
      <c r="AA15" s="8" t="n">
        <v>9</v>
      </c>
      <c r="AB15" s="8"/>
      <c r="AC15" s="23" t="n">
        <v>10</v>
      </c>
      <c r="AD15" s="23"/>
      <c r="AE15" s="1" t="n">
        <f aca="false">AC15+AD15/2</f>
        <v>10</v>
      </c>
      <c r="AF15" s="8" t="n">
        <f aca="false">ROUND(AVERAGE(AE15,AA15,Y15,W15,U15),0)</f>
        <v>10</v>
      </c>
      <c r="AH15" s="1" t="s">
        <v>19</v>
      </c>
      <c r="AJ15" s="1" t="n">
        <v>10</v>
      </c>
      <c r="AK15" s="1" t="n">
        <v>8</v>
      </c>
      <c r="AL15" s="17" t="s">
        <v>136</v>
      </c>
      <c r="AM15" s="1" t="n">
        <v>8</v>
      </c>
      <c r="AN15" s="17" t="s">
        <v>175</v>
      </c>
      <c r="AO15" s="1" t="n">
        <v>8</v>
      </c>
      <c r="AP15" s="17" t="s">
        <v>176</v>
      </c>
      <c r="AQ15" s="1" t="n">
        <v>8</v>
      </c>
      <c r="AR15" s="17" t="s">
        <v>177</v>
      </c>
      <c r="AS15" s="30" t="n">
        <v>7</v>
      </c>
      <c r="AT15" s="17" t="s">
        <v>178</v>
      </c>
      <c r="AU15" s="2" t="n">
        <v>7</v>
      </c>
      <c r="AV15" s="2" t="s">
        <v>179</v>
      </c>
      <c r="AW15" s="30" t="n">
        <v>9</v>
      </c>
      <c r="AX15" s="17" t="s">
        <v>180</v>
      </c>
      <c r="AY15" s="6" t="n">
        <v>7</v>
      </c>
      <c r="AZ15" s="6" t="n">
        <v>9</v>
      </c>
      <c r="BA15" s="1" t="n">
        <f aca="false">AY15+AZ15/2</f>
        <v>11.5</v>
      </c>
      <c r="BB15" s="6"/>
      <c r="BC15" s="8" t="n">
        <f aca="false">ROUND(AVERAGE(AJ15,AK15,AM15,AO15,AQ15,AS15,AU15,AW15,BA15),0)</f>
        <v>9</v>
      </c>
      <c r="BD15" s="8" t="n">
        <f aca="false">ROUND(AVERAGE(AF15,BC15),0)</f>
        <v>10</v>
      </c>
    </row>
    <row r="16" customFormat="false" ht="15.65" hidden="true" customHeight="false" outlineLevel="0" collapsed="false">
      <c r="A16" s="1" t="n">
        <v>13</v>
      </c>
      <c r="B16" s="17" t="s">
        <v>60</v>
      </c>
      <c r="C16" s="1" t="n">
        <v>8</v>
      </c>
      <c r="E16" s="1" t="n">
        <v>9</v>
      </c>
      <c r="G16" s="1" t="n">
        <v>9</v>
      </c>
      <c r="I16" s="1" t="n">
        <v>9</v>
      </c>
      <c r="K16" s="1" t="n">
        <v>9</v>
      </c>
      <c r="M16" s="1" t="n">
        <v>9</v>
      </c>
      <c r="O16" s="1" t="n">
        <v>5</v>
      </c>
      <c r="Q16" s="1" t="n">
        <v>7</v>
      </c>
      <c r="S16" s="1" t="n">
        <v>4</v>
      </c>
      <c r="T16" s="1" t="n">
        <v>9</v>
      </c>
      <c r="U16" s="8" t="n">
        <f aca="false">ROUND(AVERAGE(M16,O16,T16),0)</f>
        <v>8</v>
      </c>
      <c r="V16" s="8" t="str">
        <f aca="false">IF(U16&lt;7,"TEP","TEA")</f>
        <v>TEA</v>
      </c>
      <c r="W16" s="31" t="n">
        <v>5</v>
      </c>
      <c r="X16" s="20" t="n">
        <v>45848</v>
      </c>
      <c r="Y16" s="23" t="n">
        <v>6</v>
      </c>
      <c r="Z16" s="20" t="n">
        <v>45848</v>
      </c>
      <c r="AA16" s="23" t="n">
        <v>7</v>
      </c>
      <c r="AB16" s="20" t="n">
        <v>45848</v>
      </c>
      <c r="AC16" s="8" t="n">
        <v>8</v>
      </c>
      <c r="AD16" s="8"/>
      <c r="AE16" s="1" t="n">
        <f aca="false">AC16+AD16/2</f>
        <v>8</v>
      </c>
      <c r="AF16" s="8" t="n">
        <f aca="false">ROUND(AVERAGE(AE16,AA16,Y16,W16,U16),0)</f>
        <v>7</v>
      </c>
      <c r="AH16" s="1" t="s">
        <v>19</v>
      </c>
      <c r="AJ16" s="1" t="n">
        <v>10</v>
      </c>
      <c r="AK16" s="1" t="n">
        <v>9</v>
      </c>
      <c r="AL16" s="1" t="s">
        <v>181</v>
      </c>
      <c r="AM16" s="1" t="n">
        <v>8</v>
      </c>
      <c r="AN16" s="1" t="s">
        <v>182</v>
      </c>
      <c r="AO16" s="1" t="n">
        <v>8</v>
      </c>
      <c r="AP16" s="1" t="s">
        <v>183</v>
      </c>
      <c r="AQ16" s="1" t="n">
        <v>8</v>
      </c>
      <c r="AR16" s="1" t="s">
        <v>183</v>
      </c>
      <c r="AS16" s="1" t="n">
        <v>7</v>
      </c>
      <c r="AT16" s="1" t="s">
        <v>184</v>
      </c>
      <c r="AU16" s="1" t="n">
        <v>7</v>
      </c>
      <c r="AV16" s="1" t="s">
        <v>185</v>
      </c>
      <c r="AW16" s="1" t="n">
        <v>9</v>
      </c>
      <c r="AX16" s="1" t="s">
        <v>186</v>
      </c>
      <c r="AY16" s="17" t="n">
        <v>9</v>
      </c>
      <c r="AZ16" s="17"/>
      <c r="BA16" s="1" t="n">
        <f aca="false">AY16+AZ16/2</f>
        <v>9</v>
      </c>
      <c r="BB16" s="17"/>
      <c r="BC16" s="8" t="n">
        <f aca="false">ROUND(AVERAGE(AJ16,AK16,AM16,AO16,AQ16,AS16,AU16,AW16,BA16),0)</f>
        <v>8</v>
      </c>
      <c r="BD16" s="8" t="n">
        <f aca="false">ROUND(AVERAGE(AF16,BC16),0)</f>
        <v>8</v>
      </c>
    </row>
    <row r="17" customFormat="false" ht="15.65" hidden="false" customHeight="false" outlineLevel="0" collapsed="false">
      <c r="A17" s="1" t="n">
        <v>14</v>
      </c>
      <c r="B17" s="17" t="s">
        <v>63</v>
      </c>
      <c r="C17" s="32" t="n">
        <v>7</v>
      </c>
      <c r="D17" s="33" t="n">
        <v>45881</v>
      </c>
      <c r="E17" s="14" t="n">
        <v>8</v>
      </c>
      <c r="F17" s="20" t="n">
        <v>45846</v>
      </c>
      <c r="G17" s="14" t="n">
        <v>8</v>
      </c>
      <c r="H17" s="20" t="n">
        <v>45846</v>
      </c>
      <c r="I17" s="14" t="n">
        <v>7</v>
      </c>
      <c r="J17" s="20" t="n">
        <v>45846</v>
      </c>
      <c r="K17" s="14" t="n">
        <v>5</v>
      </c>
      <c r="L17" s="20" t="n">
        <v>45848</v>
      </c>
      <c r="M17" s="32" t="n">
        <v>6</v>
      </c>
      <c r="N17" s="33" t="n">
        <v>45881</v>
      </c>
      <c r="O17" s="14" t="n">
        <v>7</v>
      </c>
      <c r="P17" s="20" t="n">
        <v>45848</v>
      </c>
      <c r="Q17" s="14" t="n">
        <v>6</v>
      </c>
      <c r="R17" s="20" t="n">
        <v>45848</v>
      </c>
      <c r="S17" s="1" t="n">
        <v>0</v>
      </c>
      <c r="T17" s="1" t="n">
        <f aca="false">Q17+S17/2</f>
        <v>6</v>
      </c>
      <c r="U17" s="8" t="n">
        <f aca="false">ROUND(AVERAGE(C17,E17,G17,I17,K17,M17,O17,T17),0)</f>
        <v>7</v>
      </c>
      <c r="V17" s="8" t="str">
        <f aca="false">IF(U17&lt;7,"TEP","TEA")</f>
        <v>TEA</v>
      </c>
      <c r="W17" s="23" t="n">
        <v>7</v>
      </c>
      <c r="X17" s="20" t="n">
        <v>45848</v>
      </c>
      <c r="Y17" s="23" t="n">
        <v>7</v>
      </c>
      <c r="Z17" s="20" t="n">
        <v>45848</v>
      </c>
      <c r="AA17" s="32" t="n">
        <v>7</v>
      </c>
      <c r="AB17" s="33" t="n">
        <v>45848</v>
      </c>
      <c r="AC17" s="8" t="n">
        <v>5</v>
      </c>
      <c r="AD17" s="8"/>
      <c r="AE17" s="1" t="n">
        <f aca="false">AC17+AD17/2</f>
        <v>5</v>
      </c>
      <c r="AF17" s="8" t="n">
        <f aca="false">ROUND(AVERAGE(AE17,AA17,Y17,W17,U17),0)</f>
        <v>7</v>
      </c>
      <c r="AG17" s="1" t="s">
        <v>187</v>
      </c>
      <c r="AH17" s="1" t="s">
        <v>18</v>
      </c>
      <c r="AI17" s="1" t="s">
        <v>19</v>
      </c>
      <c r="AJ17" s="1" t="n">
        <v>7</v>
      </c>
      <c r="AK17" s="1" t="n">
        <v>7</v>
      </c>
      <c r="AL17" s="34" t="s">
        <v>188</v>
      </c>
      <c r="AM17" s="1" t="n">
        <v>7</v>
      </c>
      <c r="AN17" s="34" t="s">
        <v>189</v>
      </c>
      <c r="AO17" s="1" t="n">
        <v>7</v>
      </c>
      <c r="AP17" s="34" t="s">
        <v>190</v>
      </c>
      <c r="AQ17" s="1" t="n">
        <v>7</v>
      </c>
      <c r="AR17" s="34" t="s">
        <v>190</v>
      </c>
      <c r="AS17" s="1" t="n">
        <v>5</v>
      </c>
      <c r="AT17" s="4" t="s">
        <v>191</v>
      </c>
      <c r="AU17" s="2" t="n">
        <v>5</v>
      </c>
      <c r="AV17" s="4" t="n">
        <v>45988</v>
      </c>
      <c r="AW17" s="2" t="n">
        <v>6</v>
      </c>
      <c r="AX17" s="4" t="n">
        <v>45988</v>
      </c>
      <c r="AY17" s="1" t="n">
        <v>7</v>
      </c>
      <c r="BA17" s="1" t="n">
        <f aca="false">AY17+AZ17/2</f>
        <v>7</v>
      </c>
      <c r="BB17" s="1" t="n">
        <v>9</v>
      </c>
      <c r="BC17" s="8" t="n">
        <f aca="false">ROUND(AVERAGE(AJ17,AK17,AM17,AO17,AQ17,AS17,AU17,AW17,BA17,BB17),0)</f>
        <v>7</v>
      </c>
      <c r="BD17" s="8" t="n">
        <f aca="false">ROUND(AVERAGE(AF17,BC17),0)</f>
        <v>7</v>
      </c>
      <c r="BF17" s="3" t="s">
        <v>192</v>
      </c>
    </row>
    <row r="18" customFormat="false" ht="15.65" hidden="false" customHeight="false" outlineLevel="0" collapsed="false">
      <c r="A18" s="1" t="n">
        <v>15</v>
      </c>
      <c r="B18" s="19" t="s">
        <v>66</v>
      </c>
      <c r="C18" s="1" t="n">
        <v>7</v>
      </c>
      <c r="E18" s="1" t="n">
        <v>7</v>
      </c>
      <c r="G18" s="1" t="n">
        <v>10</v>
      </c>
      <c r="I18" s="1" t="n">
        <v>7</v>
      </c>
      <c r="K18" s="1" t="n">
        <v>7</v>
      </c>
      <c r="M18" s="1" t="n">
        <v>9</v>
      </c>
      <c r="O18" s="1" t="n">
        <v>9</v>
      </c>
      <c r="P18" s="1" t="s">
        <v>193</v>
      </c>
      <c r="Q18" s="1" t="n">
        <v>10</v>
      </c>
      <c r="S18" s="1" t="n">
        <v>1</v>
      </c>
      <c r="T18" s="1" t="n">
        <f aca="false">Q18+S18/2</f>
        <v>10.5</v>
      </c>
      <c r="U18" s="8" t="n">
        <f aca="false">ROUND(AVERAGE(M18,O18,T18),0)</f>
        <v>10</v>
      </c>
      <c r="V18" s="8" t="str">
        <f aca="false">IF(U18&lt;7,"TEP","TEA")</f>
        <v>TEA</v>
      </c>
      <c r="W18" s="8" t="n">
        <v>9</v>
      </c>
      <c r="X18" s="8"/>
      <c r="Y18" s="8" t="s">
        <v>194</v>
      </c>
      <c r="Z18" s="8"/>
      <c r="AA18" s="8" t="n">
        <v>7</v>
      </c>
      <c r="AB18" s="8"/>
      <c r="AC18" s="8" t="n">
        <v>8</v>
      </c>
      <c r="AD18" s="8"/>
      <c r="AE18" s="1" t="n">
        <f aca="false">AC18+AD18/2</f>
        <v>8</v>
      </c>
      <c r="AF18" s="8" t="n">
        <f aca="false">ROUND(AVERAGE(AE18,AA18,Y18,W18,U18),0)</f>
        <v>9</v>
      </c>
      <c r="AH18" s="1" t="s">
        <v>19</v>
      </c>
      <c r="AJ18" s="1" t="n">
        <v>1</v>
      </c>
      <c r="AY18" s="1" t="n">
        <v>7</v>
      </c>
      <c r="BA18" s="1" t="n">
        <f aca="false">AY18+AZ18/2</f>
        <v>7</v>
      </c>
      <c r="BB18" s="1" t="n">
        <v>1</v>
      </c>
      <c r="BC18" s="8" t="n">
        <f aca="false">ROUND(AVERAGE(AJ18,AK18,AM18,AO18,AQ18,AS18,AU18,AW18,BA18,BB18),0)</f>
        <v>3</v>
      </c>
      <c r="BD18" s="8" t="n">
        <f aca="false">ROUND(AVERAGE(AF18,BC18),0)</f>
        <v>6</v>
      </c>
    </row>
    <row r="19" customFormat="false" ht="17.7" hidden="true" customHeight="false" outlineLevel="0" collapsed="false">
      <c r="A19" s="1" t="n">
        <v>16</v>
      </c>
      <c r="B19" s="17" t="s">
        <v>69</v>
      </c>
      <c r="C19" s="1" t="n">
        <v>7</v>
      </c>
      <c r="E19" s="1" t="n">
        <v>8</v>
      </c>
      <c r="G19" s="1" t="n">
        <v>9</v>
      </c>
      <c r="I19" s="1" t="n">
        <v>9</v>
      </c>
      <c r="K19" s="1" t="n">
        <v>9</v>
      </c>
      <c r="M19" s="1" t="n">
        <v>8</v>
      </c>
      <c r="O19" s="1" t="n">
        <v>10</v>
      </c>
      <c r="Q19" s="1" t="n">
        <v>8</v>
      </c>
      <c r="S19" s="1" t="n">
        <v>1</v>
      </c>
      <c r="T19" s="1" t="n">
        <f aca="false">Q19+S19/2</f>
        <v>8.5</v>
      </c>
      <c r="U19" s="8" t="n">
        <f aca="false">ROUND(AVERAGE(M19,O19,T19),0)</f>
        <v>9</v>
      </c>
      <c r="V19" s="8" t="str">
        <f aca="false">IF(U19&lt;7,"TEP","TEA")</f>
        <v>TEA</v>
      </c>
      <c r="W19" s="8" t="n">
        <v>10</v>
      </c>
      <c r="X19" s="8"/>
      <c r="Y19" s="35" t="n">
        <v>9</v>
      </c>
      <c r="Z19" s="4" t="n">
        <v>45848</v>
      </c>
      <c r="AA19" s="23" t="n">
        <v>9</v>
      </c>
      <c r="AB19" s="20" t="n">
        <v>45848</v>
      </c>
      <c r="AC19" s="8" t="n">
        <v>5</v>
      </c>
      <c r="AD19" s="8"/>
      <c r="AE19" s="1" t="n">
        <f aca="false">AC19+AD19/2</f>
        <v>5</v>
      </c>
      <c r="AF19" s="8" t="n">
        <f aca="false">ROUND(AVERAGE(AE19,AA19,Y19,W19,U19),0)</f>
        <v>8</v>
      </c>
      <c r="AH19" s="1" t="s">
        <v>19</v>
      </c>
      <c r="AJ19" s="1" t="n">
        <v>7</v>
      </c>
      <c r="AK19" s="1" t="n">
        <v>6</v>
      </c>
      <c r="AL19" s="2" t="s">
        <v>195</v>
      </c>
      <c r="AM19" s="1" t="n">
        <v>7</v>
      </c>
      <c r="AN19" s="2" t="s">
        <v>196</v>
      </c>
      <c r="AO19" s="1" t="n">
        <v>6</v>
      </c>
      <c r="AP19" s="34" t="s">
        <v>197</v>
      </c>
      <c r="AQ19" s="1" t="n">
        <v>6</v>
      </c>
      <c r="AR19" s="2" t="s">
        <v>198</v>
      </c>
      <c r="AS19" s="1" t="n">
        <v>7</v>
      </c>
      <c r="AT19" s="2" t="s">
        <v>199</v>
      </c>
      <c r="AU19" s="1" t="n">
        <v>7</v>
      </c>
      <c r="AV19" s="2" t="s">
        <v>200</v>
      </c>
      <c r="AW19" s="1" t="n">
        <v>7</v>
      </c>
      <c r="AX19" s="2" t="s">
        <v>201</v>
      </c>
      <c r="AY19" s="1" t="n">
        <v>7</v>
      </c>
      <c r="BA19" s="1" t="n">
        <f aca="false">AY19+AZ19/2</f>
        <v>7</v>
      </c>
      <c r="BC19" s="8" t="n">
        <f aca="false">ROUND(AVERAGE(AJ19,AK19,AM19,AO19,AQ19,AS19,AU19,AW19,BA19),0)</f>
        <v>7</v>
      </c>
      <c r="BD19" s="8" t="n">
        <f aca="false">ROUND(AVERAGE(AF19,BC19),0)</f>
        <v>8</v>
      </c>
    </row>
    <row r="20" customFormat="false" ht="15.65" hidden="true" customHeight="false" outlineLevel="0" collapsed="false">
      <c r="A20" s="1" t="n">
        <v>17</v>
      </c>
      <c r="B20" s="17" t="s">
        <v>72</v>
      </c>
      <c r="C20" s="1" t="n">
        <v>7</v>
      </c>
      <c r="E20" s="1" t="n">
        <v>1</v>
      </c>
      <c r="G20" s="1" t="n">
        <v>1</v>
      </c>
      <c r="I20" s="1" t="n">
        <v>7</v>
      </c>
      <c r="K20" s="1" t="n">
        <v>7</v>
      </c>
      <c r="M20" s="1" t="n">
        <v>8</v>
      </c>
      <c r="O20" s="1" t="n">
        <v>10</v>
      </c>
      <c r="Q20" s="1" t="n">
        <v>10</v>
      </c>
      <c r="S20" s="1" t="n">
        <v>1</v>
      </c>
      <c r="T20" s="1" t="n">
        <f aca="false">Q20+S20/2</f>
        <v>10.5</v>
      </c>
      <c r="U20" s="8" t="n">
        <f aca="false">ROUND(AVERAGE(M20,O20,T20),0)</f>
        <v>10</v>
      </c>
      <c r="V20" s="8" t="str">
        <f aca="false">IF(U20&lt;7,"TEP","TEA")</f>
        <v>TEA</v>
      </c>
      <c r="W20" s="8" t="n">
        <v>10</v>
      </c>
      <c r="X20" s="8"/>
      <c r="Y20" s="8" t="n">
        <v>9</v>
      </c>
      <c r="Z20" s="8"/>
      <c r="AA20" s="8" t="n">
        <v>7</v>
      </c>
      <c r="AB20" s="8"/>
      <c r="AC20" s="8" t="n">
        <v>6</v>
      </c>
      <c r="AD20" s="8"/>
      <c r="AE20" s="1" t="n">
        <f aca="false">AC20+AD20/2</f>
        <v>6</v>
      </c>
      <c r="AF20" s="8" t="n">
        <f aca="false">ROUND(AVERAGE(AE20,AA20,Y20,W20,U20),0)</f>
        <v>8</v>
      </c>
      <c r="AH20" s="1" t="s">
        <v>19</v>
      </c>
      <c r="AJ20" s="1" t="n">
        <v>10</v>
      </c>
      <c r="AK20" s="1" t="n">
        <v>7</v>
      </c>
      <c r="AL20" s="2" t="s">
        <v>202</v>
      </c>
      <c r="AM20" s="1" t="n">
        <v>7</v>
      </c>
      <c r="AN20" s="6" t="s">
        <v>203</v>
      </c>
      <c r="AO20" s="1" t="n">
        <v>7</v>
      </c>
      <c r="AP20" s="2" t="s">
        <v>161</v>
      </c>
      <c r="AQ20" s="1" t="n">
        <v>7</v>
      </c>
      <c r="AR20" s="2" t="s">
        <v>161</v>
      </c>
      <c r="AS20" s="1" t="n">
        <v>8</v>
      </c>
      <c r="AT20" s="2" t="s">
        <v>161</v>
      </c>
      <c r="AU20" s="1" t="n">
        <v>7</v>
      </c>
      <c r="AV20" s="2" t="s">
        <v>140</v>
      </c>
      <c r="AW20" s="1" t="n">
        <v>4</v>
      </c>
      <c r="AX20" s="6" t="s">
        <v>204</v>
      </c>
      <c r="AY20" s="2" t="n">
        <v>9</v>
      </c>
      <c r="AZ20" s="2"/>
      <c r="BA20" s="1" t="n">
        <f aca="false">AY20+AZ20/2</f>
        <v>9</v>
      </c>
      <c r="BB20" s="2"/>
      <c r="BC20" s="8" t="n">
        <f aca="false">ROUND(AVERAGE(AJ20,AK20,AM20,AO20,AQ20,AS20,AU20,AW20,BA20),0)</f>
        <v>7</v>
      </c>
      <c r="BD20" s="8" t="n">
        <f aca="false">ROUND(AVERAGE(AF20,BC20),0)</f>
        <v>8</v>
      </c>
    </row>
    <row r="21" customFormat="false" ht="15.65" hidden="true" customHeight="false" outlineLevel="0" collapsed="false">
      <c r="A21" s="1" t="n">
        <v>18</v>
      </c>
      <c r="B21" s="17" t="s">
        <v>75</v>
      </c>
      <c r="C21" s="1" t="n">
        <v>10</v>
      </c>
      <c r="E21" s="1" t="n">
        <v>8</v>
      </c>
      <c r="G21" s="1" t="n">
        <v>10</v>
      </c>
      <c r="I21" s="1" t="n">
        <v>8</v>
      </c>
      <c r="K21" s="1" t="n">
        <v>10</v>
      </c>
      <c r="M21" s="1" t="n">
        <v>9</v>
      </c>
      <c r="O21" s="1" t="n">
        <v>9</v>
      </c>
      <c r="Q21" s="1" t="n">
        <v>10</v>
      </c>
      <c r="S21" s="1" t="n">
        <v>2</v>
      </c>
      <c r="T21" s="1" t="n">
        <f aca="false">Q21+S21/2</f>
        <v>11</v>
      </c>
      <c r="U21" s="8" t="n">
        <f aca="false">ROUND(AVERAGE(M21,O21,T21),0)</f>
        <v>10</v>
      </c>
      <c r="V21" s="8" t="str">
        <f aca="false">IF(U21&lt;7,"TEP","TEA")</f>
        <v>TEA</v>
      </c>
      <c r="W21" s="8" t="n">
        <v>9</v>
      </c>
      <c r="X21" s="8"/>
      <c r="Y21" s="8" t="n">
        <v>9</v>
      </c>
      <c r="Z21" s="8"/>
      <c r="AA21" s="8" t="n">
        <v>8</v>
      </c>
      <c r="AB21" s="8"/>
      <c r="AC21" s="8" t="n">
        <v>10</v>
      </c>
      <c r="AD21" s="8"/>
      <c r="AE21" s="1" t="n">
        <f aca="false">AC21+AD21/2</f>
        <v>10</v>
      </c>
      <c r="AF21" s="8" t="n">
        <f aca="false">ROUND(AVERAGE(AE21,AA21,Y21,W21,U21),0)</f>
        <v>9</v>
      </c>
      <c r="AH21" s="1" t="s">
        <v>19</v>
      </c>
      <c r="AJ21" s="1" t="n">
        <v>7</v>
      </c>
      <c r="AK21" s="1" t="n">
        <v>7</v>
      </c>
      <c r="AL21" s="2" t="s">
        <v>205</v>
      </c>
      <c r="AM21" s="36" t="n">
        <v>7</v>
      </c>
      <c r="AN21" s="2" t="s">
        <v>206</v>
      </c>
      <c r="AO21" s="1" t="n">
        <v>7</v>
      </c>
      <c r="AP21" s="2" t="s">
        <v>207</v>
      </c>
      <c r="AQ21" s="1" t="n">
        <v>7</v>
      </c>
      <c r="AR21" s="2" t="s">
        <v>207</v>
      </c>
      <c r="AS21" s="36" t="n">
        <v>7</v>
      </c>
      <c r="AT21" s="2" t="s">
        <v>208</v>
      </c>
      <c r="AU21" s="36" t="n">
        <v>7</v>
      </c>
      <c r="AW21" s="1" t="n">
        <v>7</v>
      </c>
      <c r="AX21" s="2" t="s">
        <v>180</v>
      </c>
      <c r="AY21" s="6" t="n">
        <v>10</v>
      </c>
      <c r="AZ21" s="6"/>
      <c r="BA21" s="1" t="n">
        <f aca="false">AY21+AZ21/2</f>
        <v>10</v>
      </c>
      <c r="BB21" s="6" t="n">
        <v>9.5</v>
      </c>
      <c r="BC21" s="8" t="n">
        <f aca="false">ROUND(AVERAGE(AJ21,AK21,AM21,AO21,AQ21,AS21,AU21,AW21,BA21,BB21),0)</f>
        <v>8</v>
      </c>
      <c r="BD21" s="8" t="n">
        <f aca="false">ROUND(AVERAGE(AF21,BC21),0)</f>
        <v>9</v>
      </c>
    </row>
    <row r="22" customFormat="false" ht="15.65" hidden="false" customHeight="false" outlineLevel="0" collapsed="false">
      <c r="A22" s="1" t="n">
        <v>19</v>
      </c>
      <c r="B22" s="19" t="s">
        <v>78</v>
      </c>
      <c r="C22" s="1" t="n">
        <v>8</v>
      </c>
      <c r="E22" s="1" t="n">
        <v>1</v>
      </c>
      <c r="G22" s="1" t="n">
        <v>1</v>
      </c>
      <c r="I22" s="1" t="n">
        <v>1</v>
      </c>
      <c r="K22" s="1" t="n">
        <v>1</v>
      </c>
      <c r="M22" s="1" t="n">
        <v>1</v>
      </c>
      <c r="O22" s="1" t="n">
        <v>1</v>
      </c>
      <c r="Q22" s="1" t="n">
        <v>1</v>
      </c>
      <c r="S22" s="1" t="n">
        <v>2</v>
      </c>
      <c r="T22" s="1" t="n">
        <f aca="false">Q22+S22/2</f>
        <v>2</v>
      </c>
      <c r="U22" s="8" t="n">
        <f aca="false">ROUND(AVERAGE(C22,E22,G22,I22,K22,M22,O22,T22),0)</f>
        <v>2</v>
      </c>
      <c r="V22" s="8" t="str">
        <f aca="false">IF(U22&lt;7,"TEP","TEA")</f>
        <v>TEP</v>
      </c>
      <c r="W22" s="8" t="n">
        <v>1</v>
      </c>
      <c r="X22" s="8"/>
      <c r="Y22" s="8" t="n">
        <v>1</v>
      </c>
      <c r="Z22" s="8"/>
      <c r="AA22" s="8" t="n">
        <v>1</v>
      </c>
      <c r="AB22" s="8"/>
      <c r="AC22" s="8" t="n">
        <v>6</v>
      </c>
      <c r="AD22" s="8"/>
      <c r="AE22" s="1" t="n">
        <f aca="false">AC22+AD22/2</f>
        <v>6</v>
      </c>
      <c r="AF22" s="8" t="n">
        <f aca="false">ROUND(AVERAGE(AE22,AA22,Y22,W22,U22),0)</f>
        <v>2</v>
      </c>
      <c r="AH22" s="1" t="s">
        <v>18</v>
      </c>
      <c r="AI22" s="1" t="s">
        <v>19</v>
      </c>
      <c r="AJ22" s="1" t="n">
        <v>7</v>
      </c>
      <c r="AK22" s="1" t="n">
        <v>7</v>
      </c>
      <c r="AL22" s="6" t="s">
        <v>209</v>
      </c>
      <c r="AM22" s="1" t="n">
        <v>7</v>
      </c>
      <c r="AN22" s="6" t="s">
        <v>209</v>
      </c>
      <c r="AO22" s="1" t="n">
        <v>5</v>
      </c>
      <c r="AP22" s="6" t="s">
        <v>183</v>
      </c>
      <c r="AQ22" s="1" t="n">
        <v>7</v>
      </c>
      <c r="AR22" s="6" t="s">
        <v>210</v>
      </c>
      <c r="AS22" s="1" t="n">
        <v>5</v>
      </c>
      <c r="AT22" s="6" t="s">
        <v>211</v>
      </c>
      <c r="AU22" s="1" t="n">
        <v>5</v>
      </c>
      <c r="AV22" s="6" t="s">
        <v>212</v>
      </c>
      <c r="AW22" s="1" t="n">
        <v>2</v>
      </c>
      <c r="AX22" s="6" t="s">
        <v>213</v>
      </c>
      <c r="AY22" s="2" t="n">
        <v>3</v>
      </c>
      <c r="AZ22" s="2"/>
      <c r="BA22" s="1" t="n">
        <f aca="false">AY22+AZ22/2</f>
        <v>3</v>
      </c>
      <c r="BB22" s="2"/>
      <c r="BC22" s="8" t="n">
        <f aca="false">ROUND(AVERAGE(AJ22,AK22,AM22,AO22,AQ22,AS22,AU22,AW22,BA22),0)</f>
        <v>5</v>
      </c>
      <c r="BD22" s="8" t="n">
        <f aca="false">ROUND(AVERAGE(AF22,BC22),0)</f>
        <v>4</v>
      </c>
    </row>
    <row r="23" customFormat="false" ht="15.65" hidden="true" customHeight="false" outlineLevel="0" collapsed="false">
      <c r="A23" s="1" t="n">
        <v>20</v>
      </c>
      <c r="B23" s="17" t="s">
        <v>81</v>
      </c>
      <c r="C23" s="1" t="n">
        <v>8</v>
      </c>
      <c r="E23" s="1" t="n">
        <v>10</v>
      </c>
      <c r="G23" s="1" t="n">
        <v>10</v>
      </c>
      <c r="I23" s="18" t="n">
        <v>6</v>
      </c>
      <c r="J23" s="4" t="n">
        <v>45784</v>
      </c>
      <c r="K23" s="1" t="n">
        <v>9</v>
      </c>
      <c r="M23" s="1" t="n">
        <v>8</v>
      </c>
      <c r="O23" s="1" t="n">
        <v>8</v>
      </c>
      <c r="Q23" s="1" t="n">
        <v>8</v>
      </c>
      <c r="S23" s="1" t="n">
        <v>0</v>
      </c>
      <c r="T23" s="1" t="n">
        <f aca="false">Q23+S23/2</f>
        <v>8</v>
      </c>
      <c r="U23" s="8" t="n">
        <f aca="false">ROUND(AVERAGE(M23,O23,T23),0)</f>
        <v>8</v>
      </c>
      <c r="V23" s="8" t="str">
        <f aca="false">IF(U23&lt;7,"TEP","TEA")</f>
        <v>TEA</v>
      </c>
      <c r="W23" s="8" t="n">
        <v>9</v>
      </c>
      <c r="X23" s="8"/>
      <c r="Y23" s="8" t="n">
        <v>8</v>
      </c>
      <c r="Z23" s="8"/>
      <c r="AA23" s="8" t="n">
        <v>8</v>
      </c>
      <c r="AB23" s="8"/>
      <c r="AC23" s="23" t="n">
        <v>8</v>
      </c>
      <c r="AD23" s="23"/>
      <c r="AE23" s="1" t="n">
        <f aca="false">AC23+AD23/2</f>
        <v>8</v>
      </c>
      <c r="AF23" s="8" t="n">
        <f aca="false">ROUND(AVERAGE(AE23,AA23,Y23,W23,U23),0)</f>
        <v>8</v>
      </c>
      <c r="AH23" s="1" t="s">
        <v>19</v>
      </c>
      <c r="AJ23" s="1" t="n">
        <v>7</v>
      </c>
      <c r="AK23" s="1" t="n">
        <v>7</v>
      </c>
      <c r="AL23" s="6" t="s">
        <v>161</v>
      </c>
      <c r="AM23" s="1" t="n">
        <v>8</v>
      </c>
      <c r="AN23" s="6" t="s">
        <v>161</v>
      </c>
      <c r="AO23" s="1" t="n">
        <v>7</v>
      </c>
      <c r="AP23" s="6" t="s">
        <v>137</v>
      </c>
      <c r="AQ23" s="1" t="n">
        <v>6</v>
      </c>
      <c r="AR23" s="6" t="s">
        <v>214</v>
      </c>
      <c r="AS23" s="30" t="n">
        <v>8</v>
      </c>
      <c r="AT23" s="17" t="s">
        <v>215</v>
      </c>
      <c r="AU23" s="1" t="n">
        <v>7</v>
      </c>
      <c r="AV23" s="6" t="s">
        <v>216</v>
      </c>
      <c r="AW23" s="1" t="n">
        <v>8</v>
      </c>
      <c r="AX23" s="37" t="s">
        <v>180</v>
      </c>
      <c r="AY23" s="6" t="n">
        <v>9</v>
      </c>
      <c r="AZ23" s="6"/>
      <c r="BA23" s="1" t="n">
        <f aca="false">AY23+AZ23/2</f>
        <v>9</v>
      </c>
      <c r="BB23" s="6"/>
      <c r="BC23" s="8" t="n">
        <f aca="false">ROUND(AVERAGE(AJ23,AK23,AM23,AO23,AQ23,AS23,AU23,AW23,BA23),0)</f>
        <v>7</v>
      </c>
      <c r="BD23" s="8" t="n">
        <f aca="false">ROUND(AVERAGE(AF23,BC23),0)</f>
        <v>8</v>
      </c>
    </row>
    <row r="24" customFormat="false" ht="15.65" hidden="true" customHeight="false" outlineLevel="0" collapsed="false">
      <c r="A24" s="1" t="n">
        <v>21</v>
      </c>
      <c r="B24" s="17" t="s">
        <v>85</v>
      </c>
      <c r="C24" s="1" t="n">
        <v>9</v>
      </c>
      <c r="E24" s="1" t="n">
        <v>10</v>
      </c>
      <c r="G24" s="1" t="n">
        <v>10</v>
      </c>
      <c r="I24" s="1" t="n">
        <v>10</v>
      </c>
      <c r="K24" s="1" t="n">
        <v>10</v>
      </c>
      <c r="M24" s="1" t="n">
        <v>10</v>
      </c>
      <c r="O24" s="1" t="n">
        <v>10</v>
      </c>
      <c r="Q24" s="1" t="n">
        <v>10</v>
      </c>
      <c r="S24" s="1" t="n">
        <v>3</v>
      </c>
      <c r="T24" s="1" t="n">
        <f aca="false">Q24+S24/2</f>
        <v>11.5</v>
      </c>
      <c r="U24" s="8" t="n">
        <f aca="false">ROUND(AVERAGE(M24,O24,T24),0)</f>
        <v>11</v>
      </c>
      <c r="V24" s="8" t="str">
        <f aca="false">IF(U24&lt;7,"TEP","TEA")</f>
        <v>TEA</v>
      </c>
      <c r="W24" s="8" t="n">
        <v>10</v>
      </c>
      <c r="X24" s="8"/>
      <c r="Y24" s="8" t="n">
        <v>10</v>
      </c>
      <c r="Z24" s="8"/>
      <c r="AA24" s="8" t="n">
        <v>9</v>
      </c>
      <c r="AB24" s="8"/>
      <c r="AC24" s="8" t="n">
        <v>8</v>
      </c>
      <c r="AD24" s="8"/>
      <c r="AE24" s="1" t="n">
        <f aca="false">AC24+AD24/2</f>
        <v>8</v>
      </c>
      <c r="AF24" s="8" t="n">
        <f aca="false">ROUND(AVERAGE(AE24,AA24,Y24,W24,U24),0)</f>
        <v>10</v>
      </c>
      <c r="AH24" s="1" t="s">
        <v>19</v>
      </c>
      <c r="AJ24" s="1" t="n">
        <v>10</v>
      </c>
      <c r="AK24" s="1" t="n">
        <v>8</v>
      </c>
      <c r="AL24" s="6" t="s">
        <v>217</v>
      </c>
      <c r="AM24" s="1" t="n">
        <v>10</v>
      </c>
      <c r="AN24" s="17" t="s">
        <v>218</v>
      </c>
      <c r="AO24" s="1" t="n">
        <v>8</v>
      </c>
      <c r="AP24" s="6" t="s">
        <v>219</v>
      </c>
      <c r="AQ24" s="1" t="n">
        <v>8</v>
      </c>
      <c r="AR24" s="6" t="s">
        <v>219</v>
      </c>
      <c r="AS24" s="1" t="n">
        <v>9</v>
      </c>
      <c r="AT24" s="6" t="s">
        <v>219</v>
      </c>
      <c r="AU24" s="1" t="n">
        <v>10</v>
      </c>
      <c r="AV24" s="17" t="s">
        <v>217</v>
      </c>
      <c r="AW24" s="1" t="n">
        <v>9</v>
      </c>
      <c r="AX24" s="17" t="s">
        <v>220</v>
      </c>
      <c r="AY24" s="1" t="n">
        <v>9</v>
      </c>
      <c r="BA24" s="1" t="n">
        <f aca="false">AY24+AZ24/2</f>
        <v>9</v>
      </c>
      <c r="BC24" s="8" t="n">
        <f aca="false">ROUND(AVERAGE(AJ24,AK24,AM24,AO24,AQ24,AS24,AU24,AW24,BA24),0)</f>
        <v>9</v>
      </c>
      <c r="BD24" s="8" t="n">
        <f aca="false">ROUND(AVERAGE(AF24,BC24),0)</f>
        <v>10</v>
      </c>
    </row>
    <row r="25" customFormat="false" ht="15.65" hidden="true" customHeight="false" outlineLevel="0" collapsed="false">
      <c r="A25" s="1" t="n">
        <v>22</v>
      </c>
      <c r="B25" s="17" t="s">
        <v>88</v>
      </c>
      <c r="C25" s="1" t="n">
        <v>10</v>
      </c>
      <c r="E25" s="1" t="n">
        <v>10</v>
      </c>
      <c r="G25" s="1" t="n">
        <v>10</v>
      </c>
      <c r="I25" s="1" t="n">
        <v>10</v>
      </c>
      <c r="K25" s="1" t="n">
        <v>10</v>
      </c>
      <c r="M25" s="1" t="n">
        <v>9</v>
      </c>
      <c r="O25" s="1" t="n">
        <v>10</v>
      </c>
      <c r="Q25" s="1" t="n">
        <v>10</v>
      </c>
      <c r="S25" s="1" t="n">
        <v>13</v>
      </c>
      <c r="T25" s="1" t="n">
        <f aca="false">Q25+S25/2</f>
        <v>16.5</v>
      </c>
      <c r="U25" s="8" t="n">
        <f aca="false">ROUND(AVERAGE(M25,O25,T25),0)</f>
        <v>12</v>
      </c>
      <c r="V25" s="8" t="str">
        <f aca="false">IF(U25&lt;7,"TEP","TEA")</f>
        <v>TEA</v>
      </c>
      <c r="W25" s="1" t="n">
        <v>8</v>
      </c>
      <c r="Y25" s="8" t="n">
        <v>10</v>
      </c>
      <c r="Z25" s="8"/>
      <c r="AA25" s="8" t="n">
        <v>9</v>
      </c>
      <c r="AB25" s="8"/>
      <c r="AC25" s="8" t="n">
        <v>10</v>
      </c>
      <c r="AD25" s="8"/>
      <c r="AE25" s="1" t="n">
        <f aca="false">AC25+AD25/2</f>
        <v>10</v>
      </c>
      <c r="AF25" s="8" t="n">
        <f aca="false">ROUND(AVERAGE(AE25,AA25,Y25,W25,U25),0)</f>
        <v>10</v>
      </c>
      <c r="AH25" s="1" t="s">
        <v>19</v>
      </c>
      <c r="AJ25" s="1" t="n">
        <v>10</v>
      </c>
      <c r="AK25" s="1" t="n">
        <v>9</v>
      </c>
      <c r="AL25" s="1" t="s">
        <v>221</v>
      </c>
      <c r="AM25" s="1" t="n">
        <v>9</v>
      </c>
      <c r="AN25" s="1" t="s">
        <v>221</v>
      </c>
      <c r="AO25" s="1" t="n">
        <v>9</v>
      </c>
      <c r="AP25" s="1" t="s">
        <v>222</v>
      </c>
      <c r="AQ25" s="1" t="n">
        <v>9</v>
      </c>
      <c r="AR25" s="1" t="s">
        <v>223</v>
      </c>
      <c r="AS25" s="1" t="n">
        <v>8</v>
      </c>
      <c r="AT25" s="1" t="s">
        <v>223</v>
      </c>
      <c r="AU25" s="1" t="n">
        <v>10</v>
      </c>
      <c r="AV25" s="17" t="s">
        <v>224</v>
      </c>
      <c r="AW25" s="1" t="n">
        <v>10</v>
      </c>
      <c r="AX25" s="17" t="s">
        <v>180</v>
      </c>
      <c r="AY25" s="1" t="n">
        <v>8</v>
      </c>
      <c r="AZ25" s="1" t="n">
        <v>8</v>
      </c>
      <c r="BA25" s="1" t="n">
        <f aca="false">AY25+AZ25/2</f>
        <v>12</v>
      </c>
      <c r="BC25" s="8" t="n">
        <f aca="false">ROUND(AVERAGE(AJ25,AK25,AM25,AO25,AQ25,AS25,AU25,AW25,BA25),0)</f>
        <v>10</v>
      </c>
      <c r="BD25" s="8" t="n">
        <f aca="false">ROUND(AVERAGE(AF25,BC25),0)</f>
        <v>10</v>
      </c>
    </row>
    <row r="26" customFormat="false" ht="15.65" hidden="true" customHeight="false" outlineLevel="0" collapsed="false">
      <c r="A26" s="1" t="n">
        <v>23</v>
      </c>
      <c r="B26" s="17" t="s">
        <v>91</v>
      </c>
      <c r="C26" s="1" t="n">
        <v>10</v>
      </c>
      <c r="E26" s="1" t="n">
        <v>10</v>
      </c>
      <c r="G26" s="1" t="n">
        <v>10</v>
      </c>
      <c r="I26" s="1" t="n">
        <v>10</v>
      </c>
      <c r="K26" s="1" t="n">
        <v>10</v>
      </c>
      <c r="M26" s="1" t="n">
        <v>10</v>
      </c>
      <c r="O26" s="1" t="n">
        <v>10</v>
      </c>
      <c r="Q26" s="1" t="n">
        <v>10</v>
      </c>
      <c r="S26" s="1" t="n">
        <v>7</v>
      </c>
      <c r="T26" s="1" t="n">
        <f aca="false">Q26+S26/2</f>
        <v>13.5</v>
      </c>
      <c r="U26" s="8" t="n">
        <f aca="false">ROUND(AVERAGE(M26,O26,T26),0)</f>
        <v>11</v>
      </c>
      <c r="V26" s="8" t="str">
        <f aca="false">IF(U26&lt;7,"TEP","TEA")</f>
        <v>TEA</v>
      </c>
      <c r="W26" s="1" t="n">
        <v>10</v>
      </c>
      <c r="Y26" s="1" t="n">
        <v>10</v>
      </c>
      <c r="AA26" s="1" t="n">
        <v>9</v>
      </c>
      <c r="AC26" s="8" t="n">
        <v>8</v>
      </c>
      <c r="AD26" s="8"/>
      <c r="AE26" s="1" t="n">
        <f aca="false">AC26+AD26/2</f>
        <v>8</v>
      </c>
      <c r="AF26" s="8" t="n">
        <f aca="false">ROUND(AVERAGE(AE26,AA26,Y26,W26,U26),0)</f>
        <v>10</v>
      </c>
      <c r="AH26" s="1" t="s">
        <v>18</v>
      </c>
      <c r="AJ26" s="1" t="n">
        <v>10</v>
      </c>
      <c r="AK26" s="1" t="n">
        <v>10</v>
      </c>
      <c r="AL26" s="17" t="s">
        <v>225</v>
      </c>
      <c r="AM26" s="1" t="n">
        <v>10</v>
      </c>
      <c r="AN26" s="17" t="s">
        <v>225</v>
      </c>
      <c r="AO26" s="1" t="n">
        <v>10</v>
      </c>
      <c r="AP26" s="17" t="s">
        <v>176</v>
      </c>
      <c r="AQ26" s="1" t="n">
        <v>9</v>
      </c>
      <c r="AR26" s="1" t="s">
        <v>177</v>
      </c>
      <c r="AS26" s="1" t="n">
        <v>9</v>
      </c>
      <c r="AT26" s="1" t="s">
        <v>177</v>
      </c>
      <c r="AU26" s="1" t="n">
        <v>10</v>
      </c>
      <c r="AV26" s="17" t="s">
        <v>161</v>
      </c>
      <c r="AW26" s="1" t="n">
        <v>10</v>
      </c>
      <c r="AX26" s="17" t="s">
        <v>226</v>
      </c>
      <c r="AY26" s="1" t="n">
        <v>9</v>
      </c>
      <c r="BA26" s="1" t="n">
        <f aca="false">AY26+AZ26/2</f>
        <v>9</v>
      </c>
      <c r="BC26" s="8" t="n">
        <f aca="false">ROUND(AVERAGE(AJ26,AK26,AM26,AO26,AQ26,AS26,AU26,AW26,BA26),0)</f>
        <v>10</v>
      </c>
      <c r="BD26" s="8" t="n">
        <f aca="false">ROUND(AVERAGE(AF26,BC26),0)</f>
        <v>10</v>
      </c>
    </row>
    <row r="27" customFormat="false" ht="15.65" hidden="true" customHeight="false" outlineLevel="0" collapsed="false">
      <c r="A27" s="1" t="n">
        <v>24</v>
      </c>
      <c r="B27" s="17" t="s">
        <v>94</v>
      </c>
      <c r="C27" s="1" t="n">
        <v>8</v>
      </c>
      <c r="E27" s="1" t="n">
        <v>10</v>
      </c>
      <c r="G27" s="1" t="n">
        <v>10</v>
      </c>
      <c r="I27" s="1" t="n">
        <v>8</v>
      </c>
      <c r="K27" s="1" t="n">
        <v>8</v>
      </c>
      <c r="M27" s="1" t="n">
        <v>8</v>
      </c>
      <c r="O27" s="1" t="n">
        <v>8</v>
      </c>
      <c r="Q27" s="1" t="n">
        <v>7</v>
      </c>
      <c r="S27" s="1" t="n">
        <v>7</v>
      </c>
      <c r="T27" s="1" t="n">
        <f aca="false">Q27+S27/2</f>
        <v>10.5</v>
      </c>
      <c r="U27" s="8" t="n">
        <f aca="false">ROUND(AVERAGE(M27,O27,T27),0)</f>
        <v>9</v>
      </c>
      <c r="V27" s="8" t="str">
        <f aca="false">IF(U27&lt;7,"TEP","TEA")</f>
        <v>TEA</v>
      </c>
      <c r="W27" s="23" t="n">
        <v>7</v>
      </c>
      <c r="X27" s="20" t="n">
        <v>45848</v>
      </c>
      <c r="Y27" s="23" t="n">
        <v>8</v>
      </c>
      <c r="Z27" s="20" t="n">
        <v>45848</v>
      </c>
      <c r="AA27" s="23" t="n">
        <v>7</v>
      </c>
      <c r="AB27" s="20" t="n">
        <v>45848</v>
      </c>
      <c r="AC27" s="8" t="n">
        <v>10</v>
      </c>
      <c r="AD27" s="8"/>
      <c r="AE27" s="1" t="n">
        <f aca="false">AC27+AD27/2</f>
        <v>10</v>
      </c>
      <c r="AF27" s="8" t="n">
        <f aca="false">ROUND(AVERAGE(AE27,AA27,Y27,W27,U27),0)</f>
        <v>8</v>
      </c>
      <c r="AH27" s="1" t="s">
        <v>19</v>
      </c>
      <c r="AJ27" s="1" t="n">
        <v>7</v>
      </c>
      <c r="AK27" s="1" t="n">
        <v>9</v>
      </c>
      <c r="AL27" s="1" t="s">
        <v>227</v>
      </c>
      <c r="AM27" s="1" t="n">
        <v>9</v>
      </c>
      <c r="AN27" s="1" t="s">
        <v>227</v>
      </c>
      <c r="AO27" s="1" t="n">
        <v>9</v>
      </c>
      <c r="AP27" s="1" t="s">
        <v>227</v>
      </c>
      <c r="AQ27" s="1" t="n">
        <v>9</v>
      </c>
      <c r="AR27" s="1" t="s">
        <v>227</v>
      </c>
      <c r="AS27" s="21" t="n">
        <v>1</v>
      </c>
      <c r="AT27" s="1" t="s">
        <v>167</v>
      </c>
      <c r="AU27" s="1" t="n">
        <v>10</v>
      </c>
      <c r="AV27" s="17" t="s">
        <v>161</v>
      </c>
      <c r="AW27" s="1" t="n">
        <v>3</v>
      </c>
      <c r="AX27" s="1" t="s">
        <v>228</v>
      </c>
      <c r="AY27" s="1" t="n">
        <v>8</v>
      </c>
      <c r="BA27" s="1" t="n">
        <f aca="false">AY27+AZ27/2</f>
        <v>8</v>
      </c>
      <c r="BC27" s="8" t="n">
        <f aca="false">ROUND(AVERAGE(AJ27,AK27,AM27,AO27,AQ27,AS27,AU27,AW27,BA27),0)</f>
        <v>7</v>
      </c>
      <c r="BD27" s="8" t="n">
        <f aca="false">ROUND(AVERAGE(AF27,BC27),0)</f>
        <v>8</v>
      </c>
    </row>
    <row r="28" customFormat="false" ht="15.65" hidden="false" customHeight="false" outlineLevel="0" collapsed="false">
      <c r="A28" s="1" t="n">
        <v>25</v>
      </c>
      <c r="B28" s="11" t="s">
        <v>97</v>
      </c>
      <c r="C28" s="32" t="n">
        <v>8</v>
      </c>
      <c r="E28" s="14" t="n">
        <v>6</v>
      </c>
      <c r="F28" s="20" t="n">
        <v>45852</v>
      </c>
      <c r="G28" s="14" t="n">
        <v>7</v>
      </c>
      <c r="H28" s="20" t="n">
        <v>45852</v>
      </c>
      <c r="I28" s="1" t="n">
        <v>1</v>
      </c>
      <c r="K28" s="32" t="n">
        <v>6</v>
      </c>
      <c r="M28" s="14" t="n">
        <v>9</v>
      </c>
      <c r="N28" s="20" t="n">
        <v>45852</v>
      </c>
      <c r="O28" s="32" t="n">
        <v>6</v>
      </c>
      <c r="Q28" s="32" t="n">
        <v>7</v>
      </c>
      <c r="S28" s="1" t="n">
        <v>1</v>
      </c>
      <c r="T28" s="1" t="n">
        <f aca="false">Q28+S28/2</f>
        <v>7.5</v>
      </c>
      <c r="U28" s="8" t="n">
        <f aca="false">ROUND(AVERAGE(M28,O28,T28),0)</f>
        <v>8</v>
      </c>
      <c r="V28" s="8" t="str">
        <f aca="false">IF(U28&lt;7,"TEP","TEA")</f>
        <v>TEA</v>
      </c>
      <c r="W28" s="32" t="n">
        <v>6</v>
      </c>
      <c r="Y28" s="32" t="n">
        <v>7</v>
      </c>
      <c r="AA28" s="32" t="n">
        <v>7</v>
      </c>
      <c r="AC28" s="1" t="n">
        <v>5</v>
      </c>
      <c r="AE28" s="1" t="n">
        <f aca="false">AC28+AD28/2</f>
        <v>5</v>
      </c>
      <c r="AF28" s="8" t="n">
        <f aca="false">ROUND(AVERAGE(AE28,AA28,Y28,W28,U28),0)</f>
        <v>7</v>
      </c>
      <c r="AH28" s="1" t="s">
        <v>19</v>
      </c>
      <c r="AJ28" s="1" t="n">
        <v>7</v>
      </c>
      <c r="AK28" s="1" t="n">
        <v>8</v>
      </c>
      <c r="AL28" s="1" t="s">
        <v>229</v>
      </c>
      <c r="AM28" s="1" t="n">
        <v>8</v>
      </c>
      <c r="AN28" s="1" t="s">
        <v>230</v>
      </c>
      <c r="AO28" s="21" t="n">
        <v>1</v>
      </c>
      <c r="AQ28" s="21" t="n">
        <v>1</v>
      </c>
      <c r="AS28" s="21" t="n">
        <v>1</v>
      </c>
      <c r="AU28" s="21" t="n">
        <v>1</v>
      </c>
      <c r="AW28" s="1" t="n">
        <v>3</v>
      </c>
      <c r="AX28" s="1" t="s">
        <v>231</v>
      </c>
      <c r="AY28" s="1" t="n">
        <v>3</v>
      </c>
      <c r="BA28" s="1" t="n">
        <f aca="false">AY28+AZ28/2</f>
        <v>3</v>
      </c>
      <c r="BC28" s="8" t="n">
        <f aca="false">ROUND(AVERAGE(AJ28,AK28,AM28,AO28,AQ28,AS28,AU28,AW28,BA28),0)</f>
        <v>4</v>
      </c>
      <c r="BD28" s="8" t="n">
        <f aca="false">ROUND(AVERAGE(AF28,BC28),0)</f>
        <v>6</v>
      </c>
    </row>
    <row r="29" customFormat="false" ht="15" hidden="false" customHeight="false" outlineLevel="0" collapsed="false">
      <c r="AH29" s="1" t="n">
        <f aca="false">COUNTIF(AH3:AH28,"P")</f>
        <v>6</v>
      </c>
    </row>
  </sheetData>
  <conditionalFormatting sqref="U3:U28">
    <cfRule type="cellIs" priority="2" operator="lessThan" aboveAverage="0" equalAverage="0" bottom="0" percent="0" rank="0" text="" dxfId="3">
      <formula>7</formula>
    </cfRule>
  </conditionalFormatting>
  <conditionalFormatting sqref="AF3:AF28 V25:V28 V8:X24 AC5:AD27 V3:AB7 Y8:AB25">
    <cfRule type="cellIs" priority="3" operator="equal" aboveAverage="0" equalAverage="0" bottom="0" percent="0" rank="0" text="" dxfId="3">
      <formula>"TEP"</formula>
    </cfRule>
  </conditionalFormatting>
  <conditionalFormatting sqref="AF3:AF28">
    <cfRule type="cellIs" priority="4" operator="greaterThan" aboveAverage="0" equalAverage="0" bottom="0" percent="0" rank="0" text="" dxfId="0">
      <formula>6</formula>
    </cfRule>
    <cfRule type="cellIs" priority="5" operator="lessThan" aboveAverage="0" equalAverage="0" bottom="0" percent="0" rank="0" text="" dxfId="4">
      <formula>4</formula>
    </cfRule>
    <cfRule type="cellIs" priority="6" operator="between" aboveAverage="0" equalAverage="0" bottom="0" percent="0" rank="0" text="" dxfId="5">
      <formula>4</formula>
      <formula>6</formula>
    </cfRule>
  </conditionalFormatting>
  <conditionalFormatting sqref="BC3:BC28 BD7">
    <cfRule type="cellIs" priority="7" operator="greaterThan" aboveAverage="0" equalAverage="0" bottom="0" percent="0" rank="0" text="" dxfId="1">
      <formula>6</formula>
    </cfRule>
    <cfRule type="cellIs" priority="8" operator="between" aboveAverage="0" equalAverage="0" bottom="0" percent="0" rank="0" text="" dxfId="2">
      <formula>4</formula>
      <formula>6</formula>
    </cfRule>
    <cfRule type="cellIs" priority="9" operator="lessThan" aboveAverage="0" equalAverage="0" bottom="0" percent="0" rank="0" text="" dxfId="6">
      <formula>4</formula>
    </cfRule>
  </conditionalFormatting>
  <conditionalFormatting sqref="BD8:BD28 BD3:BD6">
    <cfRule type="cellIs" priority="10" operator="greaterThan" aboveAverage="0" equalAverage="0" bottom="0" percent="0" rank="0" text="" dxfId="7">
      <formula>6</formula>
    </cfRule>
    <cfRule type="cellIs" priority="11" operator="between" aboveAverage="0" equalAverage="0" bottom="0" percent="0" rank="0" text="" dxfId="8">
      <formula>4</formula>
      <formula>6</formula>
    </cfRule>
    <cfRule type="cellIs" priority="12" operator="lessThan" aboveAverage="0" equalAverage="0" bottom="0" percent="0" rank="0" text="" dxfId="9">
      <formula>4</formula>
    </cfRule>
  </conditionalFormatting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&amp;C&amp;"Arial,Regular"&amp;10&amp;Kffffff&amp;A</oddHeader>
    <oddFooter>&amp;C&amp;"Arial,Regular"&amp;10&amp;KffffffPage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19" activeCellId="0" sqref="B19"/>
    </sheetView>
  </sheetViews>
  <sheetFormatPr defaultColWidth="9.63671875" defaultRowHeight="15" zeroHeight="false" outlineLevelRow="0" outlineLevelCol="0"/>
  <cols>
    <col collapsed="false" customWidth="true" hidden="false" outlineLevel="0" max="1" min="1" style="1" width="4.1"/>
    <col collapsed="false" customWidth="true" hidden="false" outlineLevel="0" max="2" min="2" style="1" width="18.11"/>
    <col collapsed="false" customWidth="true" hidden="false" outlineLevel="0" max="4" min="3" style="1" width="8.48"/>
    <col collapsed="false" customWidth="true" hidden="false" outlineLevel="0" max="1024" min="998" style="1" width="9.33"/>
  </cols>
  <sheetData>
    <row r="1" customFormat="false" ht="15" hidden="false" customHeight="false" outlineLevel="0" collapsed="false">
      <c r="A1" s="1" t="s">
        <v>1</v>
      </c>
      <c r="B1" s="3" t="s">
        <v>3</v>
      </c>
      <c r="C1" s="4" t="n">
        <v>45734</v>
      </c>
      <c r="D1" s="4" t="n">
        <v>45748</v>
      </c>
      <c r="E1" s="4" t="n">
        <v>45804</v>
      </c>
      <c r="F1" s="1" t="s">
        <v>114</v>
      </c>
    </row>
    <row r="2" customFormat="false" ht="15" hidden="false" customHeight="false" outlineLevel="0" collapsed="false">
      <c r="A2" s="1" t="n">
        <v>1</v>
      </c>
      <c r="B2" s="3" t="s">
        <v>16</v>
      </c>
      <c r="F2" s="1" t="n">
        <f aca="false">C2+D2+E2</f>
        <v>0</v>
      </c>
    </row>
    <row r="3" customFormat="false" ht="15" hidden="false" customHeight="false" outlineLevel="0" collapsed="false">
      <c r="A3" s="1" t="n">
        <v>2</v>
      </c>
      <c r="B3" s="3" t="s">
        <v>23</v>
      </c>
      <c r="C3" s="1" t="n">
        <v>1</v>
      </c>
      <c r="F3" s="1" t="n">
        <f aca="false">C3+D3+E3</f>
        <v>1</v>
      </c>
    </row>
    <row r="4" customFormat="false" ht="15" hidden="false" customHeight="false" outlineLevel="0" collapsed="false">
      <c r="A4" s="1" t="n">
        <v>3</v>
      </c>
      <c r="B4" s="3" t="s">
        <v>26</v>
      </c>
      <c r="C4" s="1" t="n">
        <v>1</v>
      </c>
      <c r="F4" s="1" t="n">
        <f aca="false">C4+D4+E4</f>
        <v>1</v>
      </c>
    </row>
    <row r="5" customFormat="false" ht="15" hidden="false" customHeight="false" outlineLevel="0" collapsed="false">
      <c r="A5" s="1" t="n">
        <v>4</v>
      </c>
      <c r="B5" s="3" t="s">
        <v>29</v>
      </c>
      <c r="F5" s="1" t="n">
        <f aca="false">C5+D5+E5</f>
        <v>0</v>
      </c>
    </row>
    <row r="6" customFormat="false" ht="15" hidden="false" customHeight="false" outlineLevel="0" collapsed="false">
      <c r="A6" s="1" t="n">
        <v>5</v>
      </c>
      <c r="B6" s="3" t="s">
        <v>32</v>
      </c>
      <c r="F6" s="1" t="n">
        <f aca="false">C6+D6+E6</f>
        <v>0</v>
      </c>
    </row>
    <row r="7" customFormat="false" ht="15" hidden="false" customHeight="false" outlineLevel="0" collapsed="false">
      <c r="A7" s="1" t="n">
        <v>6</v>
      </c>
      <c r="B7" s="3" t="s">
        <v>35</v>
      </c>
      <c r="F7" s="1" t="n">
        <f aca="false">C7+D7+E7</f>
        <v>0</v>
      </c>
    </row>
    <row r="8" customFormat="false" ht="15" hidden="false" customHeight="false" outlineLevel="0" collapsed="false">
      <c r="A8" s="1" t="n">
        <v>7</v>
      </c>
      <c r="B8" s="3" t="s">
        <v>38</v>
      </c>
      <c r="F8" s="1" t="n">
        <f aca="false">C8+D8+E8</f>
        <v>0</v>
      </c>
    </row>
    <row r="9" customFormat="false" ht="15" hidden="false" customHeight="false" outlineLevel="0" collapsed="false">
      <c r="A9" s="1" t="n">
        <v>8</v>
      </c>
      <c r="B9" s="3" t="s">
        <v>41</v>
      </c>
      <c r="F9" s="1" t="n">
        <f aca="false">C9+D9+E9</f>
        <v>0</v>
      </c>
    </row>
    <row r="10" customFormat="false" ht="15" hidden="false" customHeight="false" outlineLevel="0" collapsed="false">
      <c r="A10" s="1" t="n">
        <v>9</v>
      </c>
      <c r="B10" s="3" t="s">
        <v>44</v>
      </c>
      <c r="C10" s="1" t="n">
        <v>1</v>
      </c>
      <c r="D10" s="1" t="n">
        <v>3</v>
      </c>
      <c r="E10" s="1" t="n">
        <v>8</v>
      </c>
      <c r="F10" s="1" t="n">
        <f aca="false">C10+D10+E10</f>
        <v>12</v>
      </c>
    </row>
    <row r="11" customFormat="false" ht="15" hidden="false" customHeight="false" outlineLevel="0" collapsed="false">
      <c r="A11" s="1" t="n">
        <v>10</v>
      </c>
      <c r="B11" s="3" t="s">
        <v>47</v>
      </c>
      <c r="F11" s="1" t="n">
        <f aca="false">C11+D11+E11</f>
        <v>0</v>
      </c>
    </row>
    <row r="12" customFormat="false" ht="15" hidden="false" customHeight="false" outlineLevel="0" collapsed="false">
      <c r="A12" s="1" t="n">
        <v>11</v>
      </c>
      <c r="B12" s="3" t="s">
        <v>50</v>
      </c>
      <c r="C12" s="1" t="n">
        <v>1</v>
      </c>
      <c r="F12" s="1" t="n">
        <f aca="false">C12+D12+E12</f>
        <v>1</v>
      </c>
    </row>
    <row r="13" customFormat="false" ht="15" hidden="false" customHeight="false" outlineLevel="0" collapsed="false">
      <c r="A13" s="1" t="n">
        <v>12</v>
      </c>
      <c r="B13" s="3" t="s">
        <v>53</v>
      </c>
      <c r="D13" s="1" t="n">
        <v>1</v>
      </c>
      <c r="F13" s="1" t="n">
        <f aca="false">C13+D13+E13</f>
        <v>1</v>
      </c>
    </row>
    <row r="14" customFormat="false" ht="15" hidden="false" customHeight="false" outlineLevel="0" collapsed="false">
      <c r="A14" s="1" t="n">
        <v>13</v>
      </c>
      <c r="B14" s="3" t="s">
        <v>56</v>
      </c>
      <c r="C14" s="1" t="n">
        <v>1</v>
      </c>
      <c r="D14" s="1" t="n">
        <v>3</v>
      </c>
      <c r="F14" s="1" t="n">
        <f aca="false">C14+D14+E14</f>
        <v>4</v>
      </c>
    </row>
    <row r="15" customFormat="false" ht="15" hidden="false" customHeight="false" outlineLevel="0" collapsed="false">
      <c r="A15" s="1" t="n">
        <v>14</v>
      </c>
      <c r="B15" s="3" t="s">
        <v>60</v>
      </c>
      <c r="C15" s="1" t="n">
        <v>2</v>
      </c>
      <c r="D15" s="1" t="n">
        <v>2</v>
      </c>
      <c r="F15" s="1" t="n">
        <f aca="false">C15+D15+E15</f>
        <v>4</v>
      </c>
    </row>
    <row r="16" customFormat="false" ht="15" hidden="false" customHeight="false" outlineLevel="0" collapsed="false">
      <c r="A16" s="1" t="n">
        <v>15</v>
      </c>
      <c r="B16" s="3" t="s">
        <v>63</v>
      </c>
      <c r="C16" s="1" t="n">
        <v>1</v>
      </c>
      <c r="D16" s="1" t="n">
        <v>-1</v>
      </c>
      <c r="F16" s="1" t="n">
        <f aca="false">C16+D16+E16</f>
        <v>0</v>
      </c>
    </row>
    <row r="17" customFormat="false" ht="15" hidden="false" customHeight="false" outlineLevel="0" collapsed="false">
      <c r="A17" s="1" t="n">
        <v>16</v>
      </c>
      <c r="B17" s="3" t="s">
        <v>66</v>
      </c>
      <c r="C17" s="1" t="n">
        <v>1</v>
      </c>
      <c r="F17" s="1" t="n">
        <f aca="false">C17+D17+E17</f>
        <v>1</v>
      </c>
    </row>
    <row r="18" customFormat="false" ht="15" hidden="false" customHeight="false" outlineLevel="0" collapsed="false">
      <c r="A18" s="1" t="n">
        <v>17</v>
      </c>
      <c r="B18" s="3" t="s">
        <v>69</v>
      </c>
      <c r="C18" s="1" t="n">
        <v>1</v>
      </c>
      <c r="F18" s="1" t="n">
        <f aca="false">C18+D18+E18</f>
        <v>1</v>
      </c>
    </row>
    <row r="19" customFormat="false" ht="15" hidden="false" customHeight="false" outlineLevel="0" collapsed="false">
      <c r="A19" s="1" t="n">
        <v>18</v>
      </c>
      <c r="B19" s="3" t="s">
        <v>72</v>
      </c>
      <c r="C19" s="1" t="n">
        <v>1</v>
      </c>
      <c r="F19" s="1" t="n">
        <f aca="false">C19+D19+E19</f>
        <v>1</v>
      </c>
    </row>
    <row r="20" customFormat="false" ht="15" hidden="false" customHeight="false" outlineLevel="0" collapsed="false">
      <c r="A20" s="1" t="n">
        <v>19</v>
      </c>
      <c r="B20" s="3" t="s">
        <v>75</v>
      </c>
      <c r="C20" s="1" t="n">
        <v>1</v>
      </c>
      <c r="E20" s="1" t="n">
        <v>1</v>
      </c>
      <c r="F20" s="1" t="n">
        <f aca="false">C20+D20+E20</f>
        <v>2</v>
      </c>
    </row>
    <row r="21" customFormat="false" ht="15" hidden="false" customHeight="false" outlineLevel="0" collapsed="false">
      <c r="A21" s="1" t="n">
        <v>20</v>
      </c>
      <c r="B21" s="3" t="s">
        <v>78</v>
      </c>
      <c r="C21" s="1" t="n">
        <v>2</v>
      </c>
      <c r="F21" s="1" t="n">
        <f aca="false">C21+D21+E21</f>
        <v>2</v>
      </c>
    </row>
    <row r="22" customFormat="false" ht="15" hidden="false" customHeight="false" outlineLevel="0" collapsed="false">
      <c r="A22" s="1" t="n">
        <v>21</v>
      </c>
      <c r="B22" s="3" t="s">
        <v>81</v>
      </c>
      <c r="F22" s="1" t="n">
        <f aca="false">C22+D22+E22</f>
        <v>0</v>
      </c>
    </row>
    <row r="23" customFormat="false" ht="15" hidden="false" customHeight="false" outlineLevel="0" collapsed="false">
      <c r="A23" s="1" t="n">
        <v>22</v>
      </c>
      <c r="B23" s="3" t="s">
        <v>85</v>
      </c>
      <c r="C23" s="1" t="n">
        <v>1</v>
      </c>
      <c r="D23" s="1" t="n">
        <v>2</v>
      </c>
      <c r="F23" s="1" t="n">
        <f aca="false">C23+D23+E23</f>
        <v>3</v>
      </c>
    </row>
    <row r="24" customFormat="false" ht="15" hidden="false" customHeight="false" outlineLevel="0" collapsed="false">
      <c r="A24" s="1" t="n">
        <v>23</v>
      </c>
      <c r="B24" s="3" t="s">
        <v>88</v>
      </c>
      <c r="C24" s="1" t="n">
        <v>1</v>
      </c>
      <c r="D24" s="1" t="n">
        <v>3</v>
      </c>
      <c r="E24" s="1" t="n">
        <v>9</v>
      </c>
      <c r="F24" s="1" t="n">
        <f aca="false">C24+D24+E24</f>
        <v>13</v>
      </c>
    </row>
    <row r="25" customFormat="false" ht="15" hidden="false" customHeight="false" outlineLevel="0" collapsed="false">
      <c r="A25" s="1" t="n">
        <v>24</v>
      </c>
      <c r="B25" s="3" t="s">
        <v>91</v>
      </c>
      <c r="C25" s="1" t="n">
        <v>1</v>
      </c>
      <c r="D25" s="1" t="n">
        <v>6</v>
      </c>
      <c r="F25" s="1" t="n">
        <f aca="false">C25+D25+E25</f>
        <v>7</v>
      </c>
    </row>
    <row r="26" customFormat="false" ht="15" hidden="false" customHeight="false" outlineLevel="0" collapsed="false">
      <c r="A26" s="1" t="n">
        <v>25</v>
      </c>
      <c r="B26" s="3" t="s">
        <v>94</v>
      </c>
      <c r="E26" s="1" t="n">
        <v>7</v>
      </c>
      <c r="F26" s="1" t="n">
        <f aca="false">C26+D26+E26</f>
        <v>7</v>
      </c>
    </row>
    <row r="27" customFormat="false" ht="15" hidden="false" customHeight="false" outlineLevel="0" collapsed="false">
      <c r="A27" s="1" t="n">
        <v>26</v>
      </c>
      <c r="B27" s="3" t="s">
        <v>97</v>
      </c>
      <c r="E27" s="1" t="n">
        <v>1</v>
      </c>
      <c r="F27" s="1" t="n">
        <f aca="false">C27+D27+E27</f>
        <v>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&amp;C&amp;"Arial,Regular"&amp;10&amp;Kffffff&amp;A</oddHeader>
    <oddFooter>&amp;C&amp;"Arial,Regular"&amp;10&amp;KffffffPage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20" activeCellId="0" sqref="B20"/>
    </sheetView>
  </sheetViews>
  <sheetFormatPr defaultColWidth="9.63671875" defaultRowHeight="12.8" zeroHeight="false" outlineLevelRow="0" outlineLevelCol="0"/>
  <cols>
    <col collapsed="false" customWidth="true" hidden="false" outlineLevel="0" max="1" min="1" style="1" width="3.29"/>
    <col collapsed="false" customWidth="true" hidden="false" outlineLevel="0" max="2" min="2" style="1" width="21.98"/>
    <col collapsed="false" customWidth="true" hidden="false" outlineLevel="0" max="3" min="3" style="1" width="18.61"/>
    <col collapsed="false" customWidth="true" hidden="false" outlineLevel="0" max="4" min="4" style="1" width="22.63"/>
    <col collapsed="false" customWidth="true" hidden="false" outlineLevel="0" max="5" min="5" style="1" width="22.2"/>
  </cols>
  <sheetData>
    <row r="1" customFormat="false" ht="15" hidden="false" customHeight="false" outlineLevel="0" collapsed="false">
      <c r="B1" s="3"/>
      <c r="C1" s="1" t="s">
        <v>3</v>
      </c>
      <c r="D1" s="1" t="s">
        <v>232</v>
      </c>
      <c r="E1" s="1" t="s">
        <v>233</v>
      </c>
      <c r="F1" s="1" t="s">
        <v>234</v>
      </c>
      <c r="G1" s="1" t="s">
        <v>116</v>
      </c>
      <c r="H1" s="1" t="s">
        <v>235</v>
      </c>
      <c r="I1" s="1" t="s">
        <v>236</v>
      </c>
    </row>
    <row r="2" customFormat="false" ht="15" hidden="false" customHeight="false" outlineLevel="0" collapsed="false">
      <c r="A2" s="1" t="n">
        <v>1</v>
      </c>
      <c r="B2" s="3" t="s">
        <v>16</v>
      </c>
      <c r="C2" s="1" t="s">
        <v>16</v>
      </c>
      <c r="D2" s="1" t="s">
        <v>237</v>
      </c>
      <c r="E2" s="1" t="s">
        <v>238</v>
      </c>
      <c r="F2" s="1" t="n">
        <v>10</v>
      </c>
      <c r="G2" s="1" t="n">
        <f aca="false">AVERAGE(F2:F3)</f>
        <v>7.5</v>
      </c>
      <c r="H2" s="1" t="n">
        <v>5</v>
      </c>
      <c r="I2" s="1" t="n">
        <f aca="false">ROUND(MAX(H2,G2),0)</f>
        <v>8</v>
      </c>
    </row>
    <row r="3" customFormat="false" ht="15" hidden="false" customHeight="false" outlineLevel="0" collapsed="false">
      <c r="C3" s="1" t="s">
        <v>16</v>
      </c>
      <c r="D3" s="1" t="s">
        <v>239</v>
      </c>
      <c r="E3" s="1" t="s">
        <v>240</v>
      </c>
      <c r="F3" s="1" t="n">
        <v>5</v>
      </c>
    </row>
    <row r="4" customFormat="false" ht="15" hidden="false" customHeight="false" outlineLevel="0" collapsed="false">
      <c r="A4" s="1" t="n">
        <v>2</v>
      </c>
      <c r="B4" s="3" t="s">
        <v>23</v>
      </c>
      <c r="C4" s="1" t="s">
        <v>23</v>
      </c>
      <c r="D4" s="1" t="s">
        <v>241</v>
      </c>
      <c r="E4" s="1" t="s">
        <v>241</v>
      </c>
      <c r="F4" s="1" t="n">
        <v>1</v>
      </c>
      <c r="I4" s="1" t="n">
        <v>1</v>
      </c>
    </row>
    <row r="5" customFormat="false" ht="15" hidden="false" customHeight="false" outlineLevel="0" collapsed="false">
      <c r="A5" s="1" t="n">
        <v>3</v>
      </c>
      <c r="B5" s="3" t="s">
        <v>26</v>
      </c>
      <c r="C5" s="1" t="s">
        <v>26</v>
      </c>
      <c r="D5" s="1" t="s">
        <v>242</v>
      </c>
      <c r="E5" s="1" t="s">
        <v>243</v>
      </c>
      <c r="F5" s="1" t="n">
        <v>6</v>
      </c>
      <c r="I5" s="1" t="n">
        <v>6</v>
      </c>
    </row>
    <row r="6" customFormat="false" ht="15" hidden="false" customHeight="false" outlineLevel="0" collapsed="false">
      <c r="A6" s="1" t="n">
        <v>4</v>
      </c>
      <c r="B6" s="3" t="s">
        <v>29</v>
      </c>
      <c r="C6" s="1" t="s">
        <v>29</v>
      </c>
      <c r="D6" s="1" t="s">
        <v>244</v>
      </c>
      <c r="E6" s="1" t="s">
        <v>245</v>
      </c>
      <c r="F6" s="1" t="n">
        <v>7</v>
      </c>
      <c r="G6" s="1" t="n">
        <f aca="false">AVERAGE(F6:F10)</f>
        <v>5.6</v>
      </c>
      <c r="H6" s="1" t="n">
        <v>6</v>
      </c>
      <c r="I6" s="1" t="n">
        <f aca="false">ROUND(MAX(H6,G6),0)</f>
        <v>6</v>
      </c>
    </row>
    <row r="7" customFormat="false" ht="15" hidden="false" customHeight="false" outlineLevel="0" collapsed="false">
      <c r="C7" s="1" t="s">
        <v>29</v>
      </c>
      <c r="D7" s="1" t="s">
        <v>246</v>
      </c>
      <c r="E7" s="1" t="s">
        <v>247</v>
      </c>
      <c r="F7" s="1" t="n">
        <v>6</v>
      </c>
    </row>
    <row r="8" customFormat="false" ht="15" hidden="false" customHeight="false" outlineLevel="0" collapsed="false">
      <c r="C8" s="1" t="s">
        <v>29</v>
      </c>
      <c r="D8" s="1" t="s">
        <v>248</v>
      </c>
      <c r="E8" s="1" t="s">
        <v>249</v>
      </c>
      <c r="F8" s="1" t="n">
        <v>6</v>
      </c>
    </row>
    <row r="9" customFormat="false" ht="15" hidden="false" customHeight="false" outlineLevel="0" collapsed="false">
      <c r="C9" s="1" t="s">
        <v>29</v>
      </c>
      <c r="D9" s="1" t="s">
        <v>250</v>
      </c>
      <c r="E9" s="1" t="s">
        <v>251</v>
      </c>
      <c r="F9" s="1" t="n">
        <v>5</v>
      </c>
    </row>
    <row r="10" customFormat="false" ht="15" hidden="false" customHeight="false" outlineLevel="0" collapsed="false">
      <c r="C10" s="1" t="s">
        <v>29</v>
      </c>
      <c r="D10" s="1" t="s">
        <v>252</v>
      </c>
      <c r="E10" s="1" t="s">
        <v>253</v>
      </c>
      <c r="F10" s="1" t="n">
        <v>4</v>
      </c>
    </row>
    <row r="11" customFormat="false" ht="15" hidden="false" customHeight="false" outlineLevel="0" collapsed="false">
      <c r="A11" s="1" t="n">
        <v>5</v>
      </c>
      <c r="B11" s="3" t="s">
        <v>32</v>
      </c>
      <c r="F11" s="1" t="n">
        <v>1</v>
      </c>
      <c r="I11" s="1" t="n">
        <v>1</v>
      </c>
    </row>
    <row r="12" customFormat="false" ht="15" hidden="false" customHeight="false" outlineLevel="0" collapsed="false">
      <c r="A12" s="1" t="n">
        <v>6</v>
      </c>
      <c r="B12" s="3" t="s">
        <v>35</v>
      </c>
      <c r="F12" s="1" t="n">
        <v>1</v>
      </c>
      <c r="I12" s="1" t="n">
        <v>1</v>
      </c>
    </row>
    <row r="13" customFormat="false" ht="15" hidden="false" customHeight="false" outlineLevel="0" collapsed="false">
      <c r="A13" s="1" t="n">
        <v>7</v>
      </c>
      <c r="B13" s="3" t="s">
        <v>38</v>
      </c>
      <c r="C13" s="1" t="s">
        <v>38</v>
      </c>
      <c r="D13" s="1" t="s">
        <v>254</v>
      </c>
      <c r="E13" s="1" t="s">
        <v>255</v>
      </c>
      <c r="F13" s="1" t="n">
        <v>8</v>
      </c>
      <c r="I13" s="1" t="n">
        <v>8</v>
      </c>
    </row>
    <row r="14" customFormat="false" ht="15" hidden="false" customHeight="false" outlineLevel="0" collapsed="false">
      <c r="A14" s="1" t="n">
        <v>8</v>
      </c>
      <c r="B14" s="3" t="s">
        <v>41</v>
      </c>
      <c r="C14" s="1" t="s">
        <v>41</v>
      </c>
      <c r="D14" s="1" t="s">
        <v>256</v>
      </c>
      <c r="E14" s="1" t="s">
        <v>257</v>
      </c>
      <c r="F14" s="1" t="n">
        <v>10</v>
      </c>
      <c r="G14" s="1" t="n">
        <f aca="false">AVERAGE(F14:F15)</f>
        <v>9</v>
      </c>
      <c r="H14" s="1" t="n">
        <v>8</v>
      </c>
      <c r="I14" s="1" t="n">
        <f aca="false">ROUND(MAX(H14,G14),0)</f>
        <v>9</v>
      </c>
    </row>
    <row r="15" customFormat="false" ht="15" hidden="false" customHeight="false" outlineLevel="0" collapsed="false">
      <c r="C15" s="1" t="s">
        <v>41</v>
      </c>
      <c r="D15" s="1" t="s">
        <v>239</v>
      </c>
      <c r="E15" s="1" t="s">
        <v>258</v>
      </c>
      <c r="F15" s="1" t="n">
        <v>8</v>
      </c>
    </row>
    <row r="16" customFormat="false" ht="15" hidden="false" customHeight="false" outlineLevel="0" collapsed="false">
      <c r="A16" s="1" t="n">
        <v>9</v>
      </c>
      <c r="B16" s="3" t="s">
        <v>44</v>
      </c>
      <c r="C16" s="1" t="s">
        <v>44</v>
      </c>
      <c r="D16" s="1" t="s">
        <v>239</v>
      </c>
      <c r="E16" s="1" t="s">
        <v>259</v>
      </c>
      <c r="F16" s="1" t="n">
        <v>10</v>
      </c>
      <c r="I16" s="1" t="n">
        <v>10</v>
      </c>
    </row>
    <row r="17" customFormat="false" ht="15" hidden="false" customHeight="false" outlineLevel="0" collapsed="false">
      <c r="A17" s="1" t="n">
        <v>10</v>
      </c>
      <c r="B17" s="3" t="s">
        <v>47</v>
      </c>
      <c r="C17" s="1" t="s">
        <v>47</v>
      </c>
      <c r="D17" s="1" t="s">
        <v>260</v>
      </c>
      <c r="E17" s="1" t="s">
        <v>261</v>
      </c>
      <c r="F17" s="1" t="n">
        <v>10</v>
      </c>
      <c r="I17" s="1" t="n">
        <v>10</v>
      </c>
    </row>
    <row r="18" customFormat="false" ht="15" hidden="false" customHeight="false" outlineLevel="0" collapsed="false">
      <c r="A18" s="1" t="n">
        <v>11</v>
      </c>
      <c r="B18" s="3" t="s">
        <v>50</v>
      </c>
      <c r="C18" s="1" t="s">
        <v>50</v>
      </c>
      <c r="D18" s="1" t="s">
        <v>262</v>
      </c>
      <c r="E18" s="1" t="s">
        <v>263</v>
      </c>
      <c r="F18" s="1" t="n">
        <v>0</v>
      </c>
      <c r="I18" s="1" t="n">
        <v>0</v>
      </c>
    </row>
    <row r="19" customFormat="false" ht="15" hidden="false" customHeight="false" outlineLevel="0" collapsed="false">
      <c r="A19" s="1" t="n">
        <v>12</v>
      </c>
      <c r="B19" s="3" t="s">
        <v>53</v>
      </c>
      <c r="F19" s="1" t="n">
        <v>1</v>
      </c>
      <c r="I19" s="1" t="n">
        <v>1</v>
      </c>
    </row>
    <row r="20" customFormat="false" ht="15" hidden="false" customHeight="false" outlineLevel="0" collapsed="false">
      <c r="A20" s="1" t="n">
        <v>13</v>
      </c>
      <c r="B20" s="3" t="s">
        <v>56</v>
      </c>
      <c r="C20" s="1" t="s">
        <v>56</v>
      </c>
      <c r="D20" s="1" t="s">
        <v>264</v>
      </c>
      <c r="E20" s="1" t="s">
        <v>265</v>
      </c>
      <c r="F20" s="1" t="n">
        <v>10</v>
      </c>
      <c r="I20" s="1" t="n">
        <v>10</v>
      </c>
    </row>
    <row r="21" customFormat="false" ht="15" hidden="false" customHeight="false" outlineLevel="0" collapsed="false">
      <c r="A21" s="1" t="n">
        <v>14</v>
      </c>
      <c r="B21" s="3" t="s">
        <v>60</v>
      </c>
      <c r="C21" s="1" t="s">
        <v>60</v>
      </c>
      <c r="D21" s="1" t="s">
        <v>266</v>
      </c>
      <c r="E21" s="1" t="s">
        <v>267</v>
      </c>
      <c r="F21" s="1" t="n">
        <v>8</v>
      </c>
      <c r="I21" s="1" t="n">
        <v>8</v>
      </c>
    </row>
    <row r="22" customFormat="false" ht="15" hidden="false" customHeight="false" outlineLevel="0" collapsed="false">
      <c r="A22" s="1" t="n">
        <v>15</v>
      </c>
      <c r="B22" s="3" t="s">
        <v>63</v>
      </c>
      <c r="F22" s="1" t="n">
        <v>1</v>
      </c>
      <c r="I22" s="1" t="n">
        <v>1</v>
      </c>
    </row>
    <row r="23" customFormat="false" ht="15" hidden="false" customHeight="false" outlineLevel="0" collapsed="false">
      <c r="A23" s="1" t="n">
        <v>16</v>
      </c>
      <c r="B23" s="3" t="s">
        <v>66</v>
      </c>
      <c r="C23" s="1" t="s">
        <v>66</v>
      </c>
      <c r="D23" s="1" t="s">
        <v>268</v>
      </c>
      <c r="E23" s="1" t="s">
        <v>269</v>
      </c>
      <c r="F23" s="1" t="n">
        <v>9</v>
      </c>
      <c r="G23" s="1" t="n">
        <f aca="false">AVERAGE(F23:F24)</f>
        <v>7</v>
      </c>
      <c r="H23" s="1" t="n">
        <v>5</v>
      </c>
      <c r="I23" s="1" t="n">
        <f aca="false">ROUND(MAX(H23,G23),0)</f>
        <v>7</v>
      </c>
    </row>
    <row r="24" customFormat="false" ht="15" hidden="false" customHeight="false" outlineLevel="0" collapsed="false">
      <c r="C24" s="1" t="s">
        <v>66</v>
      </c>
      <c r="D24" s="1" t="s">
        <v>270</v>
      </c>
      <c r="E24" s="1" t="s">
        <v>271</v>
      </c>
      <c r="F24" s="1" t="n">
        <v>5</v>
      </c>
    </row>
    <row r="25" customFormat="false" ht="15" hidden="false" customHeight="false" outlineLevel="0" collapsed="false">
      <c r="A25" s="1" t="n">
        <v>17</v>
      </c>
      <c r="B25" s="3" t="s">
        <v>69</v>
      </c>
      <c r="C25" s="1" t="s">
        <v>69</v>
      </c>
      <c r="D25" s="1" t="s">
        <v>272</v>
      </c>
      <c r="E25" s="1" t="s">
        <v>273</v>
      </c>
      <c r="F25" s="1" t="n">
        <v>7</v>
      </c>
      <c r="I25" s="1" t="n">
        <v>7</v>
      </c>
    </row>
    <row r="26" customFormat="false" ht="15" hidden="false" customHeight="false" outlineLevel="0" collapsed="false">
      <c r="A26" s="1" t="n">
        <v>18</v>
      </c>
      <c r="B26" s="3" t="s">
        <v>72</v>
      </c>
      <c r="C26" s="1" t="s">
        <v>72</v>
      </c>
      <c r="D26" s="1" t="s">
        <v>274</v>
      </c>
      <c r="E26" s="1" t="s">
        <v>275</v>
      </c>
      <c r="F26" s="1" t="n">
        <v>7</v>
      </c>
      <c r="I26" s="1" t="n">
        <v>7</v>
      </c>
    </row>
    <row r="27" customFormat="false" ht="15" hidden="false" customHeight="false" outlineLevel="0" collapsed="false">
      <c r="A27" s="1" t="n">
        <v>19</v>
      </c>
      <c r="B27" s="3" t="s">
        <v>75</v>
      </c>
      <c r="C27" s="1" t="s">
        <v>75</v>
      </c>
      <c r="D27" s="1" t="s">
        <v>276</v>
      </c>
      <c r="E27" s="1" t="s">
        <v>277</v>
      </c>
      <c r="F27" s="1" t="n">
        <v>10</v>
      </c>
      <c r="I27" s="1" t="n">
        <v>10</v>
      </c>
    </row>
    <row r="28" customFormat="false" ht="15" hidden="false" customHeight="false" outlineLevel="0" collapsed="false">
      <c r="A28" s="1" t="n">
        <v>20</v>
      </c>
      <c r="B28" s="3" t="s">
        <v>78</v>
      </c>
      <c r="C28" s="1" t="s">
        <v>78</v>
      </c>
      <c r="D28" s="1" t="s">
        <v>278</v>
      </c>
      <c r="E28" s="1" t="s">
        <v>279</v>
      </c>
      <c r="F28" s="1" t="n">
        <v>10</v>
      </c>
      <c r="G28" s="1" t="n">
        <f aca="false">AVERAGE(F28:F33)</f>
        <v>6.66666666666667</v>
      </c>
      <c r="H28" s="1" t="n">
        <v>8</v>
      </c>
      <c r="I28" s="1" t="n">
        <f aca="false">ROUND(MAX(H28,G28),0)</f>
        <v>8</v>
      </c>
    </row>
    <row r="29" customFormat="false" ht="15" hidden="false" customHeight="false" outlineLevel="0" collapsed="false">
      <c r="C29" s="1" t="s">
        <v>78</v>
      </c>
      <c r="D29" s="1" t="s">
        <v>280</v>
      </c>
      <c r="E29" s="1" t="s">
        <v>281</v>
      </c>
      <c r="F29" s="1" t="n">
        <v>8</v>
      </c>
    </row>
    <row r="30" customFormat="false" ht="15" hidden="false" customHeight="false" outlineLevel="0" collapsed="false">
      <c r="C30" s="1" t="s">
        <v>78</v>
      </c>
      <c r="D30" s="1" t="s">
        <v>282</v>
      </c>
      <c r="E30" s="1" t="s">
        <v>283</v>
      </c>
      <c r="F30" s="1" t="n">
        <v>8</v>
      </c>
    </row>
    <row r="31" customFormat="false" ht="15" hidden="false" customHeight="false" outlineLevel="0" collapsed="false">
      <c r="C31" s="1" t="s">
        <v>78</v>
      </c>
      <c r="D31" s="1" t="s">
        <v>284</v>
      </c>
      <c r="E31" s="1" t="s">
        <v>285</v>
      </c>
      <c r="F31" s="1" t="n">
        <v>8</v>
      </c>
    </row>
    <row r="32" customFormat="false" ht="15" hidden="false" customHeight="false" outlineLevel="0" collapsed="false">
      <c r="C32" s="1" t="s">
        <v>78</v>
      </c>
      <c r="D32" s="1" t="s">
        <v>286</v>
      </c>
      <c r="E32" s="1" t="s">
        <v>287</v>
      </c>
      <c r="F32" s="1" t="n">
        <v>5</v>
      </c>
    </row>
    <row r="33" customFormat="false" ht="15" hidden="false" customHeight="false" outlineLevel="0" collapsed="false">
      <c r="C33" s="1" t="s">
        <v>78</v>
      </c>
      <c r="D33" s="1" t="s">
        <v>288</v>
      </c>
      <c r="E33" s="1" t="s">
        <v>289</v>
      </c>
      <c r="F33" s="1" t="n">
        <v>1</v>
      </c>
    </row>
    <row r="34" customFormat="false" ht="15" hidden="false" customHeight="false" outlineLevel="0" collapsed="false">
      <c r="A34" s="1" t="n">
        <v>21</v>
      </c>
      <c r="B34" s="3" t="s">
        <v>81</v>
      </c>
      <c r="C34" s="1" t="s">
        <v>81</v>
      </c>
      <c r="D34" s="1" t="s">
        <v>286</v>
      </c>
      <c r="E34" s="1" t="s">
        <v>290</v>
      </c>
      <c r="F34" s="1" t="n">
        <v>9</v>
      </c>
      <c r="G34" s="1" t="n">
        <f aca="false">AVERAGE(F34:F35)</f>
        <v>7.5</v>
      </c>
      <c r="H34" s="1" t="n">
        <v>6</v>
      </c>
      <c r="I34" s="1" t="n">
        <f aca="false">ROUND(MAX(H34,G34),0)</f>
        <v>8</v>
      </c>
    </row>
    <row r="35" customFormat="false" ht="15" hidden="false" customHeight="false" outlineLevel="0" collapsed="false">
      <c r="C35" s="1" t="s">
        <v>81</v>
      </c>
      <c r="D35" s="1" t="s">
        <v>256</v>
      </c>
      <c r="E35" s="1" t="s">
        <v>291</v>
      </c>
      <c r="F35" s="1" t="n">
        <v>6</v>
      </c>
    </row>
    <row r="36" customFormat="false" ht="15" hidden="false" customHeight="false" outlineLevel="0" collapsed="false">
      <c r="A36" s="1" t="n">
        <v>22</v>
      </c>
      <c r="B36" s="3" t="s">
        <v>85</v>
      </c>
      <c r="C36" s="1" t="s">
        <v>85</v>
      </c>
      <c r="D36" s="1" t="s">
        <v>292</v>
      </c>
      <c r="E36" s="1" t="s">
        <v>293</v>
      </c>
      <c r="F36" s="1" t="n">
        <v>10</v>
      </c>
      <c r="G36" s="1" t="n">
        <f aca="false">AVERAGE(F36:F38)</f>
        <v>8.33333333333333</v>
      </c>
      <c r="H36" s="1" t="n">
        <v>9</v>
      </c>
      <c r="I36" s="1" t="n">
        <f aca="false">ROUND(MAX(H36,G36),0)</f>
        <v>9</v>
      </c>
    </row>
    <row r="37" customFormat="false" ht="15" hidden="false" customHeight="false" outlineLevel="0" collapsed="false">
      <c r="C37" s="1" t="s">
        <v>85</v>
      </c>
      <c r="D37" s="1" t="s">
        <v>294</v>
      </c>
      <c r="E37" s="1" t="s">
        <v>295</v>
      </c>
      <c r="F37" s="1" t="n">
        <v>9</v>
      </c>
    </row>
    <row r="38" customFormat="false" ht="15" hidden="false" customHeight="false" outlineLevel="0" collapsed="false">
      <c r="C38" s="1" t="s">
        <v>85</v>
      </c>
      <c r="D38" s="1" t="s">
        <v>296</v>
      </c>
      <c r="E38" s="1" t="s">
        <v>258</v>
      </c>
      <c r="F38" s="1" t="n">
        <v>6</v>
      </c>
    </row>
    <row r="39" customFormat="false" ht="15" hidden="false" customHeight="false" outlineLevel="0" collapsed="false">
      <c r="A39" s="1" t="n">
        <v>23</v>
      </c>
      <c r="B39" s="3" t="s">
        <v>88</v>
      </c>
      <c r="C39" s="1" t="s">
        <v>88</v>
      </c>
      <c r="D39" s="1" t="s">
        <v>297</v>
      </c>
      <c r="E39" s="1" t="s">
        <v>298</v>
      </c>
      <c r="F39" s="1" t="n">
        <v>10</v>
      </c>
      <c r="I39" s="1" t="n">
        <v>10</v>
      </c>
    </row>
    <row r="40" customFormat="false" ht="15" hidden="false" customHeight="false" outlineLevel="0" collapsed="false">
      <c r="A40" s="1" t="n">
        <v>24</v>
      </c>
      <c r="B40" s="3" t="s">
        <v>91</v>
      </c>
      <c r="C40" s="1" t="s">
        <v>91</v>
      </c>
      <c r="D40" s="1" t="s">
        <v>299</v>
      </c>
      <c r="E40" s="1" t="s">
        <v>300</v>
      </c>
      <c r="F40" s="1" t="n">
        <v>10</v>
      </c>
      <c r="G40" s="1" t="n">
        <f aca="false">AVERAGE(F40:F43)</f>
        <v>9.5</v>
      </c>
      <c r="H40" s="1" t="n">
        <v>9</v>
      </c>
      <c r="I40" s="1" t="n">
        <f aca="false">ROUND(MAX(H40,G40),0)</f>
        <v>10</v>
      </c>
    </row>
    <row r="41" customFormat="false" ht="15" hidden="false" customHeight="false" outlineLevel="0" collapsed="false">
      <c r="C41" s="1" t="s">
        <v>91</v>
      </c>
      <c r="D41" s="1" t="s">
        <v>301</v>
      </c>
      <c r="E41" s="1" t="s">
        <v>302</v>
      </c>
      <c r="F41" s="1" t="n">
        <v>10</v>
      </c>
    </row>
    <row r="42" customFormat="false" ht="15" hidden="false" customHeight="false" outlineLevel="0" collapsed="false">
      <c r="C42" s="1" t="s">
        <v>91</v>
      </c>
      <c r="D42" s="1" t="s">
        <v>237</v>
      </c>
      <c r="E42" s="1" t="s">
        <v>303</v>
      </c>
      <c r="F42" s="1" t="n">
        <v>9</v>
      </c>
    </row>
    <row r="43" customFormat="false" ht="15" hidden="false" customHeight="false" outlineLevel="0" collapsed="false">
      <c r="C43" s="1" t="s">
        <v>91</v>
      </c>
      <c r="D43" s="1" t="s">
        <v>304</v>
      </c>
      <c r="E43" s="1" t="s">
        <v>305</v>
      </c>
      <c r="F43" s="1" t="n">
        <v>9</v>
      </c>
    </row>
    <row r="44" customFormat="false" ht="15" hidden="false" customHeight="false" outlineLevel="0" collapsed="false">
      <c r="A44" s="1" t="n">
        <v>25</v>
      </c>
      <c r="B44" s="3" t="s">
        <v>94</v>
      </c>
      <c r="C44" s="1" t="s">
        <v>94</v>
      </c>
      <c r="D44" s="1" t="s">
        <v>306</v>
      </c>
      <c r="E44" s="1" t="s">
        <v>307</v>
      </c>
      <c r="F44" s="1" t="n">
        <v>9</v>
      </c>
      <c r="G44" s="1" t="n">
        <f aca="false">AVERAGE(F44:F47)</f>
        <v>6.75</v>
      </c>
      <c r="H44" s="1" t="n">
        <v>8</v>
      </c>
      <c r="I44" s="1" t="n">
        <f aca="false">ROUND(MAX(H44,G44),0)</f>
        <v>8</v>
      </c>
    </row>
    <row r="45" customFormat="false" ht="15" hidden="false" customHeight="false" outlineLevel="0" collapsed="false">
      <c r="C45" s="1" t="s">
        <v>94</v>
      </c>
      <c r="D45" s="1" t="s">
        <v>308</v>
      </c>
      <c r="E45" s="1" t="s">
        <v>309</v>
      </c>
      <c r="F45" s="1" t="n">
        <v>8</v>
      </c>
    </row>
    <row r="46" customFormat="false" ht="15" hidden="false" customHeight="false" outlineLevel="0" collapsed="false">
      <c r="C46" s="1" t="s">
        <v>94</v>
      </c>
      <c r="D46" s="1" t="s">
        <v>310</v>
      </c>
      <c r="E46" s="1" t="s">
        <v>311</v>
      </c>
      <c r="F46" s="1" t="n">
        <v>7</v>
      </c>
    </row>
    <row r="47" customFormat="false" ht="15" hidden="false" customHeight="false" outlineLevel="0" collapsed="false">
      <c r="C47" s="1" t="s">
        <v>94</v>
      </c>
      <c r="D47" s="1" t="s">
        <v>312</v>
      </c>
      <c r="E47" s="1" t="s">
        <v>313</v>
      </c>
      <c r="F47" s="1" t="n">
        <v>3</v>
      </c>
    </row>
    <row r="48" customFormat="false" ht="15" hidden="false" customHeight="false" outlineLevel="0" collapsed="false">
      <c r="A48" s="1" t="n">
        <v>26</v>
      </c>
      <c r="B48" s="3" t="s">
        <v>97</v>
      </c>
      <c r="F48" s="1" t="n">
        <v>1</v>
      </c>
      <c r="I48" s="1" t="n">
        <v>1</v>
      </c>
    </row>
    <row r="49" customFormat="false" ht="15" hidden="false" customHeight="false" outlineLevel="0" collapsed="false"/>
    <row r="50" customFormat="false" ht="15" hidden="false" customHeight="false" outlineLevel="0" collapsed="false"/>
    <row r="51" customFormat="false" ht="15" hidden="false" customHeight="false" outlineLevel="0" collapsed="false"/>
    <row r="52" customFormat="false" ht="15" hidden="false" customHeight="false" outlineLevel="0" collapsed="false"/>
    <row r="53" customFormat="false" ht="15" hidden="false" customHeight="false" outlineLevel="0" collapsed="false"/>
    <row r="54" customFormat="false" ht="15" hidden="false" customHeight="false" outlineLevel="0" collapsed="false"/>
    <row r="55" customFormat="false" ht="15" hidden="false" customHeight="false" outlineLevel="0" collapsed="false"/>
    <row r="56" customFormat="false" ht="15" hidden="false" customHeight="false" outlineLevel="0" collapsed="false"/>
    <row r="57" customFormat="false" ht="15" hidden="false" customHeight="false" outlineLevel="0" collapsed="false"/>
    <row r="58" customFormat="false" ht="15" hidden="false" customHeight="false" outlineLevel="0" collapsed="false"/>
    <row r="59" customFormat="false" ht="15" hidden="false" customHeight="false" outlineLevel="0" collapsed="false"/>
    <row r="60" customFormat="false" ht="15" hidden="false" customHeight="false" outlineLevel="0" collapsed="false"/>
    <row r="61" customFormat="false" ht="15" hidden="false" customHeight="false" outlineLevel="0" collapsed="false"/>
    <row r="62" customFormat="false" ht="15" hidden="false" customHeight="false" outlineLevel="0" collapsed="false"/>
    <row r="63" customFormat="false" ht="15" hidden="false" customHeight="false" outlineLevel="0" collapsed="false"/>
    <row r="64" customFormat="false" ht="15" hidden="false" customHeight="false" outlineLevel="0" collapsed="false"/>
    <row r="65" customFormat="false" ht="15" hidden="false" customHeight="false" outlineLevel="0" collapsed="false"/>
    <row r="66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&amp;C&amp;"Arial,Regular"&amp;10&amp;Kffffff&amp;A</oddHeader>
    <oddFooter>&amp;C&amp;"Arial,Regular"&amp;10&amp;KffffffPage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G1" activeCellId="0" sqref="G1"/>
    </sheetView>
  </sheetViews>
  <sheetFormatPr defaultColWidth="9.63671875" defaultRowHeight="12.8" zeroHeight="false" outlineLevelRow="0" outlineLevelCol="0"/>
  <cols>
    <col collapsed="false" customWidth="true" hidden="false" outlineLevel="0" max="1" min="1" style="1" width="3.29"/>
    <col collapsed="false" customWidth="true" hidden="false" outlineLevel="0" max="3" min="2" style="1" width="18.61"/>
    <col collapsed="false" customWidth="true" hidden="false" outlineLevel="0" max="5" min="5" style="1" width="22.2"/>
  </cols>
  <sheetData>
    <row r="1" customFormat="false" ht="15" hidden="false" customHeight="false" outlineLevel="0" collapsed="false">
      <c r="C1" s="1" t="s">
        <v>3</v>
      </c>
      <c r="D1" s="1" t="s">
        <v>232</v>
      </c>
      <c r="E1" s="1" t="s">
        <v>233</v>
      </c>
      <c r="F1" s="1" t="s">
        <v>234</v>
      </c>
      <c r="G1" s="1" t="s">
        <v>116</v>
      </c>
      <c r="H1" s="1" t="s">
        <v>235</v>
      </c>
      <c r="I1" s="1" t="s">
        <v>236</v>
      </c>
    </row>
    <row r="2" customFormat="false" ht="15" hidden="false" customHeight="false" outlineLevel="0" collapsed="false">
      <c r="A2" s="1" t="n">
        <v>1</v>
      </c>
      <c r="B2" s="3" t="s">
        <v>16</v>
      </c>
      <c r="C2" s="1" t="s">
        <v>16</v>
      </c>
      <c r="D2" s="1" t="s">
        <v>314</v>
      </c>
      <c r="E2" s="1" t="s">
        <v>315</v>
      </c>
      <c r="F2" s="1" t="n">
        <v>10</v>
      </c>
      <c r="G2" s="1" t="n">
        <f aca="false">AVERAGE(F2:F4)</f>
        <v>8.33333333333333</v>
      </c>
      <c r="H2" s="1" t="n">
        <v>9</v>
      </c>
      <c r="I2" s="1" t="n">
        <f aca="false">ROUND(MAX(H2,G2),0)</f>
        <v>9</v>
      </c>
    </row>
    <row r="3" customFormat="false" ht="15" hidden="false" customHeight="false" outlineLevel="0" collapsed="false">
      <c r="C3" s="1" t="s">
        <v>16</v>
      </c>
      <c r="D3" s="1" t="s">
        <v>316</v>
      </c>
      <c r="E3" s="1" t="s">
        <v>317</v>
      </c>
      <c r="F3" s="1" t="n">
        <v>9</v>
      </c>
    </row>
    <row r="4" customFormat="false" ht="15" hidden="false" customHeight="false" outlineLevel="0" collapsed="false">
      <c r="C4" s="1" t="s">
        <v>16</v>
      </c>
      <c r="D4" s="1" t="s">
        <v>318</v>
      </c>
      <c r="E4" s="1" t="s">
        <v>319</v>
      </c>
      <c r="F4" s="1" t="n">
        <v>6</v>
      </c>
    </row>
    <row r="5" customFormat="false" ht="15" hidden="false" customHeight="false" outlineLevel="0" collapsed="false">
      <c r="A5" s="1" t="n">
        <v>2</v>
      </c>
      <c r="B5" s="3" t="s">
        <v>23</v>
      </c>
      <c r="F5" s="1" t="n">
        <v>1</v>
      </c>
      <c r="I5" s="1" t="n">
        <v>1</v>
      </c>
    </row>
    <row r="6" customFormat="false" ht="15" hidden="false" customHeight="false" outlineLevel="0" collapsed="false">
      <c r="A6" s="1" t="n">
        <v>3</v>
      </c>
      <c r="B6" s="3" t="s">
        <v>26</v>
      </c>
      <c r="C6" s="1" t="s">
        <v>26</v>
      </c>
      <c r="D6" s="1" t="s">
        <v>320</v>
      </c>
      <c r="E6" s="1" t="s">
        <v>271</v>
      </c>
      <c r="F6" s="1" t="n">
        <v>8</v>
      </c>
      <c r="G6" s="1" t="n">
        <f aca="false">AVERAGE(F6:F8)</f>
        <v>7</v>
      </c>
      <c r="H6" s="1" t="n">
        <v>7</v>
      </c>
      <c r="I6" s="1" t="n">
        <f aca="false">ROUND(MAX(H6,G6),0)</f>
        <v>7</v>
      </c>
    </row>
    <row r="7" customFormat="false" ht="15" hidden="false" customHeight="false" outlineLevel="0" collapsed="false">
      <c r="C7" s="1" t="s">
        <v>26</v>
      </c>
      <c r="D7" s="1" t="s">
        <v>321</v>
      </c>
      <c r="E7" s="1" t="s">
        <v>322</v>
      </c>
      <c r="F7" s="1" t="n">
        <v>7</v>
      </c>
    </row>
    <row r="8" customFormat="false" ht="15" hidden="false" customHeight="false" outlineLevel="0" collapsed="false">
      <c r="C8" s="1" t="s">
        <v>26</v>
      </c>
      <c r="D8" s="1" t="s">
        <v>323</v>
      </c>
      <c r="E8" s="1" t="s">
        <v>324</v>
      </c>
      <c r="F8" s="1" t="n">
        <v>6</v>
      </c>
    </row>
    <row r="9" customFormat="false" ht="15" hidden="false" customHeight="false" outlineLevel="0" collapsed="false">
      <c r="A9" s="1" t="n">
        <v>4</v>
      </c>
      <c r="B9" s="3" t="s">
        <v>29</v>
      </c>
      <c r="F9" s="1" t="n">
        <v>1</v>
      </c>
      <c r="I9" s="1" t="n">
        <v>1</v>
      </c>
    </row>
    <row r="10" customFormat="false" ht="15" hidden="false" customHeight="false" outlineLevel="0" collapsed="false">
      <c r="A10" s="1" t="n">
        <v>5</v>
      </c>
      <c r="B10" s="3" t="s">
        <v>32</v>
      </c>
      <c r="F10" s="1" t="n">
        <v>1</v>
      </c>
      <c r="I10" s="1" t="n">
        <v>1</v>
      </c>
    </row>
    <row r="11" customFormat="false" ht="15" hidden="false" customHeight="false" outlineLevel="0" collapsed="false">
      <c r="A11" s="1" t="n">
        <v>6</v>
      </c>
      <c r="B11" s="3" t="s">
        <v>35</v>
      </c>
      <c r="F11" s="1" t="n">
        <v>1</v>
      </c>
      <c r="I11" s="1" t="n">
        <v>1</v>
      </c>
    </row>
    <row r="12" customFormat="false" ht="15" hidden="false" customHeight="false" outlineLevel="0" collapsed="false">
      <c r="A12" s="1" t="n">
        <v>7</v>
      </c>
      <c r="B12" s="3" t="s">
        <v>38</v>
      </c>
      <c r="C12" s="1" t="s">
        <v>38</v>
      </c>
      <c r="D12" s="1" t="s">
        <v>325</v>
      </c>
      <c r="E12" s="1" t="s">
        <v>326</v>
      </c>
      <c r="F12" s="1" t="n">
        <v>8</v>
      </c>
      <c r="I12" s="1" t="n">
        <v>8</v>
      </c>
    </row>
    <row r="13" customFormat="false" ht="15" hidden="false" customHeight="false" outlineLevel="0" collapsed="false">
      <c r="A13" s="1" t="n">
        <v>8</v>
      </c>
      <c r="B13" s="3" t="s">
        <v>41</v>
      </c>
      <c r="F13" s="1" t="n">
        <v>1</v>
      </c>
      <c r="I13" s="1" t="n">
        <v>1</v>
      </c>
    </row>
    <row r="14" customFormat="false" ht="15" hidden="false" customHeight="false" outlineLevel="0" collapsed="false">
      <c r="A14" s="1" t="n">
        <v>9</v>
      </c>
      <c r="B14" s="3" t="s">
        <v>44</v>
      </c>
      <c r="C14" s="1" t="s">
        <v>44</v>
      </c>
      <c r="D14" s="1" t="s">
        <v>327</v>
      </c>
      <c r="E14" s="1" t="s">
        <v>328</v>
      </c>
      <c r="F14" s="1" t="n">
        <v>9</v>
      </c>
      <c r="I14" s="1" t="n">
        <v>9</v>
      </c>
    </row>
    <row r="15" customFormat="false" ht="15" hidden="false" customHeight="false" outlineLevel="0" collapsed="false">
      <c r="A15" s="1" t="n">
        <v>10</v>
      </c>
      <c r="B15" s="3" t="s">
        <v>47</v>
      </c>
      <c r="F15" s="1" t="n">
        <v>1</v>
      </c>
      <c r="I15" s="1" t="n">
        <v>1</v>
      </c>
    </row>
    <row r="16" customFormat="false" ht="15" hidden="false" customHeight="false" outlineLevel="0" collapsed="false">
      <c r="A16" s="1" t="n">
        <v>11</v>
      </c>
      <c r="B16" s="3" t="s">
        <v>50</v>
      </c>
      <c r="C16" s="1" t="s">
        <v>50</v>
      </c>
      <c r="D16" s="1" t="s">
        <v>329</v>
      </c>
      <c r="E16" s="1" t="s">
        <v>330</v>
      </c>
      <c r="F16" s="1" t="n">
        <v>7</v>
      </c>
      <c r="I16" s="1" t="n">
        <v>7</v>
      </c>
    </row>
    <row r="17" customFormat="false" ht="15" hidden="false" customHeight="false" outlineLevel="0" collapsed="false">
      <c r="A17" s="1" t="n">
        <v>12</v>
      </c>
      <c r="B17" s="3" t="s">
        <v>53</v>
      </c>
      <c r="F17" s="1" t="n">
        <v>1</v>
      </c>
      <c r="I17" s="1" t="n">
        <v>1</v>
      </c>
    </row>
    <row r="18" customFormat="false" ht="15" hidden="false" customHeight="false" outlineLevel="0" collapsed="false">
      <c r="A18" s="1" t="n">
        <v>13</v>
      </c>
      <c r="B18" s="3" t="s">
        <v>56</v>
      </c>
      <c r="C18" s="1" t="s">
        <v>56</v>
      </c>
      <c r="D18" s="1" t="s">
        <v>331</v>
      </c>
      <c r="E18" s="1" t="s">
        <v>332</v>
      </c>
      <c r="F18" s="1" t="n">
        <v>10</v>
      </c>
      <c r="I18" s="1" t="n">
        <v>10</v>
      </c>
    </row>
    <row r="19" customFormat="false" ht="15" hidden="false" customHeight="false" outlineLevel="0" collapsed="false">
      <c r="A19" s="1" t="n">
        <v>14</v>
      </c>
      <c r="B19" s="3" t="s">
        <v>60</v>
      </c>
      <c r="C19" s="1" t="s">
        <v>60</v>
      </c>
      <c r="D19" s="1" t="s">
        <v>333</v>
      </c>
      <c r="E19" s="1" t="s">
        <v>334</v>
      </c>
      <c r="F19" s="1" t="n">
        <v>9</v>
      </c>
      <c r="I19" s="1" t="n">
        <v>9</v>
      </c>
    </row>
    <row r="20" customFormat="false" ht="15" hidden="false" customHeight="false" outlineLevel="0" collapsed="false">
      <c r="A20" s="1" t="n">
        <v>15</v>
      </c>
      <c r="B20" s="3" t="s">
        <v>63</v>
      </c>
      <c r="F20" s="1" t="n">
        <v>1</v>
      </c>
      <c r="I20" s="1" t="n">
        <v>1</v>
      </c>
    </row>
    <row r="21" customFormat="false" ht="15" hidden="false" customHeight="false" outlineLevel="0" collapsed="false">
      <c r="A21" s="1" t="n">
        <v>16</v>
      </c>
      <c r="B21" s="3" t="s">
        <v>66</v>
      </c>
      <c r="C21" s="1" t="s">
        <v>66</v>
      </c>
      <c r="D21" s="1" t="s">
        <v>335</v>
      </c>
      <c r="E21" s="1" t="s">
        <v>336</v>
      </c>
      <c r="F21" s="1" t="n">
        <v>7</v>
      </c>
      <c r="I21" s="1" t="n">
        <v>7</v>
      </c>
    </row>
    <row r="22" customFormat="false" ht="15" hidden="false" customHeight="false" outlineLevel="0" collapsed="false">
      <c r="A22" s="1" t="n">
        <v>17</v>
      </c>
      <c r="B22" s="3" t="s">
        <v>69</v>
      </c>
      <c r="C22" s="1" t="s">
        <v>69</v>
      </c>
      <c r="D22" s="1" t="s">
        <v>337</v>
      </c>
      <c r="E22" s="1" t="s">
        <v>338</v>
      </c>
      <c r="F22" s="1" t="n">
        <v>9</v>
      </c>
      <c r="G22" s="1" t="n">
        <f aca="false">AVERAGE(F22:F23)</f>
        <v>7.5</v>
      </c>
      <c r="H22" s="1" t="n">
        <v>6</v>
      </c>
      <c r="I22" s="1" t="n">
        <f aca="false">ROUND(MAX(H22,G22),0)</f>
        <v>8</v>
      </c>
    </row>
    <row r="23" customFormat="false" ht="15" hidden="false" customHeight="false" outlineLevel="0" collapsed="false">
      <c r="C23" s="1" t="s">
        <v>69</v>
      </c>
      <c r="D23" s="1" t="s">
        <v>339</v>
      </c>
      <c r="E23" s="1" t="s">
        <v>340</v>
      </c>
      <c r="F23" s="1" t="n">
        <v>6</v>
      </c>
    </row>
    <row r="24" customFormat="false" ht="15" hidden="false" customHeight="false" outlineLevel="0" collapsed="false">
      <c r="A24" s="1" t="n">
        <v>18</v>
      </c>
      <c r="B24" s="3" t="s">
        <v>72</v>
      </c>
      <c r="F24" s="1" t="n">
        <v>1</v>
      </c>
      <c r="I24" s="1" t="n">
        <v>1</v>
      </c>
    </row>
    <row r="25" customFormat="false" ht="15" hidden="false" customHeight="false" outlineLevel="0" collapsed="false">
      <c r="A25" s="1" t="n">
        <v>19</v>
      </c>
      <c r="B25" s="3" t="s">
        <v>75</v>
      </c>
      <c r="C25" s="1" t="s">
        <v>75</v>
      </c>
      <c r="D25" s="1" t="s">
        <v>341</v>
      </c>
      <c r="E25" s="1" t="s">
        <v>342</v>
      </c>
      <c r="F25" s="1" t="n">
        <v>9</v>
      </c>
      <c r="G25" s="1" t="n">
        <f aca="false">AVERAGE(F25:F26)</f>
        <v>8</v>
      </c>
      <c r="H25" s="1" t="n">
        <v>7</v>
      </c>
      <c r="I25" s="1" t="n">
        <f aca="false">ROUND(MAX(H25,G25),0)</f>
        <v>8</v>
      </c>
    </row>
    <row r="26" customFormat="false" ht="15" hidden="false" customHeight="false" outlineLevel="0" collapsed="false">
      <c r="C26" s="1" t="s">
        <v>75</v>
      </c>
      <c r="D26" s="1" t="s">
        <v>343</v>
      </c>
      <c r="E26" s="1" t="s">
        <v>344</v>
      </c>
      <c r="F26" s="1" t="n">
        <v>7</v>
      </c>
    </row>
    <row r="27" customFormat="false" ht="15" hidden="false" customHeight="false" outlineLevel="0" collapsed="false">
      <c r="A27" s="1" t="n">
        <v>20</v>
      </c>
      <c r="B27" s="3" t="s">
        <v>78</v>
      </c>
      <c r="F27" s="1" t="n">
        <v>1</v>
      </c>
      <c r="I27" s="1" t="n">
        <v>1</v>
      </c>
    </row>
    <row r="28" customFormat="false" ht="15" hidden="false" customHeight="false" outlineLevel="0" collapsed="false">
      <c r="A28" s="1" t="n">
        <v>21</v>
      </c>
      <c r="B28" s="3" t="s">
        <v>81</v>
      </c>
      <c r="C28" s="1" t="s">
        <v>81</v>
      </c>
      <c r="D28" s="1" t="s">
        <v>314</v>
      </c>
      <c r="E28" s="1" t="s">
        <v>345</v>
      </c>
      <c r="F28" s="1" t="n">
        <v>10</v>
      </c>
      <c r="I28" s="1" t="n">
        <v>10</v>
      </c>
    </row>
    <row r="29" customFormat="false" ht="15" hidden="false" customHeight="false" outlineLevel="0" collapsed="false">
      <c r="A29" s="1" t="n">
        <v>22</v>
      </c>
      <c r="B29" s="3" t="s">
        <v>85</v>
      </c>
      <c r="C29" s="1" t="s">
        <v>85</v>
      </c>
      <c r="D29" s="1" t="s">
        <v>346</v>
      </c>
      <c r="E29" s="1" t="s">
        <v>347</v>
      </c>
      <c r="F29" s="1" t="n">
        <v>10</v>
      </c>
      <c r="I29" s="1" t="n">
        <v>10</v>
      </c>
    </row>
    <row r="30" customFormat="false" ht="15" hidden="false" customHeight="false" outlineLevel="0" collapsed="false">
      <c r="A30" s="1" t="n">
        <v>23</v>
      </c>
      <c r="B30" s="3" t="s">
        <v>88</v>
      </c>
      <c r="C30" s="1" t="s">
        <v>88</v>
      </c>
      <c r="D30" s="1" t="s">
        <v>348</v>
      </c>
      <c r="E30" s="1" t="s">
        <v>349</v>
      </c>
      <c r="F30" s="1" t="n">
        <v>10</v>
      </c>
      <c r="G30" s="1" t="n">
        <f aca="false">AVERAGE(F30:F33)</f>
        <v>9.5</v>
      </c>
      <c r="H30" s="1" t="n">
        <v>8</v>
      </c>
      <c r="I30" s="1" t="n">
        <f aca="false">ROUND(MAX(H30,G30),0)</f>
        <v>10</v>
      </c>
    </row>
    <row r="31" customFormat="false" ht="15" hidden="false" customHeight="false" outlineLevel="0" collapsed="false">
      <c r="C31" s="1" t="s">
        <v>88</v>
      </c>
      <c r="D31" s="1" t="s">
        <v>350</v>
      </c>
      <c r="E31" s="1" t="s">
        <v>257</v>
      </c>
      <c r="F31" s="1" t="n">
        <v>10</v>
      </c>
    </row>
    <row r="32" customFormat="false" ht="15" hidden="false" customHeight="false" outlineLevel="0" collapsed="false">
      <c r="C32" s="1" t="s">
        <v>88</v>
      </c>
      <c r="D32" s="1" t="s">
        <v>351</v>
      </c>
      <c r="E32" s="1" t="s">
        <v>352</v>
      </c>
      <c r="F32" s="1" t="n">
        <v>10</v>
      </c>
    </row>
    <row r="33" customFormat="false" ht="15" hidden="false" customHeight="false" outlineLevel="0" collapsed="false">
      <c r="C33" s="1" t="s">
        <v>88</v>
      </c>
      <c r="D33" s="1" t="s">
        <v>353</v>
      </c>
      <c r="E33" s="1" t="s">
        <v>354</v>
      </c>
      <c r="F33" s="1" t="n">
        <v>8</v>
      </c>
    </row>
    <row r="34" customFormat="false" ht="15" hidden="false" customHeight="false" outlineLevel="0" collapsed="false">
      <c r="A34" s="1" t="n">
        <v>24</v>
      </c>
      <c r="B34" s="3" t="s">
        <v>91</v>
      </c>
      <c r="C34" s="1" t="s">
        <v>91</v>
      </c>
      <c r="D34" s="1" t="s">
        <v>355</v>
      </c>
      <c r="E34" s="1" t="s">
        <v>356</v>
      </c>
      <c r="F34" s="1" t="n">
        <v>10</v>
      </c>
      <c r="I34" s="1" t="n">
        <v>10</v>
      </c>
    </row>
    <row r="35" customFormat="false" ht="15" hidden="false" customHeight="false" outlineLevel="0" collapsed="false">
      <c r="A35" s="1" t="n">
        <v>25</v>
      </c>
      <c r="B35" s="3" t="s">
        <v>94</v>
      </c>
      <c r="C35" s="1" t="s">
        <v>94</v>
      </c>
      <c r="D35" s="1" t="s">
        <v>357</v>
      </c>
      <c r="E35" s="1" t="s">
        <v>358</v>
      </c>
      <c r="F35" s="1" t="n">
        <v>10</v>
      </c>
      <c r="I35" s="1" t="n">
        <v>10</v>
      </c>
    </row>
    <row r="36" customFormat="false" ht="15" hidden="false" customHeight="false" outlineLevel="0" collapsed="false">
      <c r="A36" s="1" t="n">
        <v>26</v>
      </c>
      <c r="B36" s="3" t="s">
        <v>97</v>
      </c>
      <c r="C36" s="1" t="s">
        <v>97</v>
      </c>
      <c r="D36" s="1" t="s">
        <v>359</v>
      </c>
      <c r="E36" s="1" t="s">
        <v>360</v>
      </c>
      <c r="F36" s="1" t="n">
        <v>5</v>
      </c>
      <c r="I36" s="1" t="n">
        <v>5</v>
      </c>
    </row>
    <row r="37" customFormat="false" ht="15" hidden="false" customHeight="false" outlineLevel="0" collapsed="false"/>
    <row r="38" customFormat="false" ht="15" hidden="false" customHeight="false" outlineLevel="0" collapsed="false"/>
    <row r="39" customFormat="false" ht="15" hidden="false" customHeight="false" outlineLevel="0" collapsed="false"/>
    <row r="40" customFormat="false" ht="15" hidden="false" customHeight="false" outlineLevel="0" collapsed="false"/>
    <row r="41" customFormat="false" ht="15" hidden="false" customHeight="false" outlineLevel="0" collapsed="false"/>
    <row r="42" customFormat="false" ht="15" hidden="false" customHeight="false" outlineLevel="0" collapsed="false"/>
    <row r="43" customFormat="false" ht="15" hidden="false" customHeight="false" outlineLevel="0" collapsed="false"/>
    <row r="44" customFormat="false" ht="15" hidden="false" customHeight="false" outlineLevel="0" collapsed="false"/>
    <row r="45" customFormat="false" ht="15" hidden="false" customHeight="false" outlineLevel="0" collapsed="false"/>
    <row r="46" customFormat="false" ht="15" hidden="false" customHeight="false" outlineLevel="0" collapsed="false"/>
    <row r="47" customFormat="false" ht="15" hidden="false" customHeight="false" outlineLevel="0" collapsed="false"/>
    <row r="48" customFormat="false" ht="15" hidden="false" customHeight="false" outlineLevel="0" collapsed="false"/>
    <row r="49" customFormat="false" ht="15" hidden="false" customHeight="false" outlineLevel="0" collapsed="false"/>
    <row r="50" customFormat="false" ht="15" hidden="false" customHeight="false" outlineLevel="0" collapsed="false"/>
    <row r="51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&amp;C&amp;"Arial,Regular"&amp;10&amp;Kffffff&amp;A</oddHeader>
    <oddFooter>&amp;C&amp;"Arial,Regular"&amp;10&amp;KffffffPage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I2" activeCellId="0" sqref="I2"/>
    </sheetView>
  </sheetViews>
  <sheetFormatPr defaultColWidth="9.63671875" defaultRowHeight="12.8" zeroHeight="false" outlineLevelRow="0" outlineLevelCol="0"/>
  <cols>
    <col collapsed="false" customWidth="true" hidden="false" outlineLevel="0" max="1" min="1" style="1" width="3.29"/>
    <col collapsed="false" customWidth="true" hidden="false" outlineLevel="0" max="3" min="2" style="1" width="18.61"/>
    <col collapsed="false" customWidth="true" hidden="false" outlineLevel="0" max="4" min="4" style="1" width="22.63"/>
    <col collapsed="false" customWidth="true" hidden="false" outlineLevel="0" max="5" min="5" style="1" width="22.2"/>
  </cols>
  <sheetData>
    <row r="1" customFormat="false" ht="15" hidden="false" customHeight="false" outlineLevel="0" collapsed="false">
      <c r="B1" s="3"/>
      <c r="C1" s="1" t="s">
        <v>3</v>
      </c>
      <c r="D1" s="1" t="s">
        <v>232</v>
      </c>
      <c r="E1" s="1" t="s">
        <v>233</v>
      </c>
      <c r="F1" s="1" t="s">
        <v>234</v>
      </c>
      <c r="G1" s="1" t="s">
        <v>116</v>
      </c>
      <c r="H1" s="1" t="s">
        <v>235</v>
      </c>
      <c r="I1" s="1" t="s">
        <v>236</v>
      </c>
    </row>
    <row r="2" customFormat="false" ht="15" hidden="false" customHeight="false" outlineLevel="0" collapsed="false">
      <c r="A2" s="1" t="n">
        <v>1</v>
      </c>
      <c r="B2" s="3" t="s">
        <v>16</v>
      </c>
      <c r="C2" s="1" t="s">
        <v>16</v>
      </c>
      <c r="D2" s="1" t="s">
        <v>361</v>
      </c>
      <c r="E2" s="1" t="s">
        <v>362</v>
      </c>
      <c r="F2" s="1" t="n">
        <v>10</v>
      </c>
      <c r="I2" s="1" t="n">
        <v>10</v>
      </c>
    </row>
    <row r="3" customFormat="false" ht="15" hidden="false" customHeight="false" outlineLevel="0" collapsed="false">
      <c r="A3" s="1" t="n">
        <v>2</v>
      </c>
      <c r="B3" s="3" t="s">
        <v>23</v>
      </c>
      <c r="F3" s="1" t="n">
        <v>1</v>
      </c>
      <c r="I3" s="1" t="n">
        <v>1</v>
      </c>
    </row>
    <row r="4" customFormat="false" ht="15" hidden="false" customHeight="false" outlineLevel="0" collapsed="false">
      <c r="A4" s="1" t="n">
        <v>3</v>
      </c>
      <c r="B4" s="3" t="s">
        <v>26</v>
      </c>
      <c r="C4" s="1" t="s">
        <v>26</v>
      </c>
      <c r="D4" s="1" t="s">
        <v>363</v>
      </c>
      <c r="E4" s="1" t="s">
        <v>364</v>
      </c>
      <c r="F4" s="1" t="n">
        <v>10</v>
      </c>
      <c r="I4" s="1" t="n">
        <v>10</v>
      </c>
    </row>
    <row r="5" customFormat="false" ht="15" hidden="false" customHeight="false" outlineLevel="0" collapsed="false">
      <c r="A5" s="1" t="n">
        <v>4</v>
      </c>
      <c r="B5" s="3" t="s">
        <v>29</v>
      </c>
      <c r="F5" s="1" t="n">
        <v>1</v>
      </c>
      <c r="I5" s="1" t="n">
        <v>1</v>
      </c>
    </row>
    <row r="6" customFormat="false" ht="15" hidden="false" customHeight="false" outlineLevel="0" collapsed="false">
      <c r="A6" s="1" t="n">
        <v>5</v>
      </c>
      <c r="B6" s="3" t="s">
        <v>32</v>
      </c>
      <c r="F6" s="1" t="n">
        <v>1</v>
      </c>
      <c r="I6" s="1" t="n">
        <v>1</v>
      </c>
    </row>
    <row r="7" customFormat="false" ht="15" hidden="false" customHeight="false" outlineLevel="0" collapsed="false">
      <c r="A7" s="1" t="n">
        <v>6</v>
      </c>
      <c r="B7" s="3" t="s">
        <v>35</v>
      </c>
      <c r="F7" s="1" t="n">
        <v>1</v>
      </c>
      <c r="I7" s="1" t="n">
        <v>1</v>
      </c>
    </row>
    <row r="8" customFormat="false" ht="15" hidden="false" customHeight="false" outlineLevel="0" collapsed="false">
      <c r="A8" s="1" t="n">
        <v>7</v>
      </c>
      <c r="B8" s="3" t="s">
        <v>38</v>
      </c>
      <c r="C8" s="1" t="s">
        <v>38</v>
      </c>
      <c r="D8" s="1" t="s">
        <v>365</v>
      </c>
      <c r="E8" s="1" t="s">
        <v>366</v>
      </c>
      <c r="F8" s="1" t="n">
        <v>9</v>
      </c>
      <c r="I8" s="1" t="n">
        <v>9</v>
      </c>
    </row>
    <row r="9" customFormat="false" ht="15" hidden="false" customHeight="false" outlineLevel="0" collapsed="false">
      <c r="A9" s="1" t="n">
        <v>8</v>
      </c>
      <c r="B9" s="3" t="s">
        <v>41</v>
      </c>
      <c r="F9" s="1" t="n">
        <v>1</v>
      </c>
      <c r="I9" s="1" t="n">
        <v>1</v>
      </c>
    </row>
    <row r="10" customFormat="false" ht="15" hidden="false" customHeight="false" outlineLevel="0" collapsed="false">
      <c r="A10" s="1" t="n">
        <v>9</v>
      </c>
      <c r="B10" s="3" t="s">
        <v>44</v>
      </c>
      <c r="C10" s="1" t="s">
        <v>44</v>
      </c>
      <c r="D10" s="1" t="s">
        <v>367</v>
      </c>
      <c r="E10" s="1" t="s">
        <v>368</v>
      </c>
      <c r="F10" s="1" t="n">
        <v>10</v>
      </c>
      <c r="I10" s="1" t="n">
        <v>10</v>
      </c>
    </row>
    <row r="11" customFormat="false" ht="15" hidden="false" customHeight="false" outlineLevel="0" collapsed="false">
      <c r="A11" s="1" t="n">
        <v>10</v>
      </c>
      <c r="B11" s="3" t="s">
        <v>47</v>
      </c>
      <c r="F11" s="1" t="n">
        <v>1</v>
      </c>
      <c r="I11" s="1" t="n">
        <v>1</v>
      </c>
    </row>
    <row r="12" customFormat="false" ht="15" hidden="false" customHeight="false" outlineLevel="0" collapsed="false">
      <c r="A12" s="1" t="n">
        <v>11</v>
      </c>
      <c r="B12" s="3" t="s">
        <v>50</v>
      </c>
      <c r="C12" s="1" t="s">
        <v>50</v>
      </c>
      <c r="D12" s="1" t="s">
        <v>369</v>
      </c>
      <c r="E12" s="1" t="s">
        <v>362</v>
      </c>
      <c r="F12" s="1" t="n">
        <v>6</v>
      </c>
      <c r="G12" s="1" t="n">
        <f aca="false">AVERAGE(F12:F14)</f>
        <v>5.66666666666667</v>
      </c>
      <c r="H12" s="1" t="n">
        <v>9</v>
      </c>
      <c r="I12" s="1" t="n">
        <f aca="false">ROUND(MAX(H12,G12),0)</f>
        <v>9</v>
      </c>
    </row>
    <row r="13" customFormat="false" ht="15" hidden="false" customHeight="false" outlineLevel="0" collapsed="false">
      <c r="C13" s="1" t="s">
        <v>50</v>
      </c>
      <c r="D13" s="1" t="s">
        <v>370</v>
      </c>
      <c r="E13" s="1" t="s">
        <v>371</v>
      </c>
      <c r="F13" s="1" t="n">
        <v>10</v>
      </c>
    </row>
    <row r="14" customFormat="false" ht="15" hidden="false" customHeight="false" outlineLevel="0" collapsed="false">
      <c r="A14" s="1" t="n">
        <v>12</v>
      </c>
      <c r="B14" s="3" t="s">
        <v>53</v>
      </c>
      <c r="F14" s="1" t="n">
        <v>1</v>
      </c>
      <c r="I14" s="1" t="n">
        <v>1</v>
      </c>
    </row>
    <row r="15" customFormat="false" ht="15" hidden="false" customHeight="false" outlineLevel="0" collapsed="false">
      <c r="A15" s="1" t="n">
        <v>13</v>
      </c>
      <c r="B15" s="3" t="s">
        <v>56</v>
      </c>
      <c r="C15" s="1" t="s">
        <v>56</v>
      </c>
      <c r="D15" s="1" t="s">
        <v>372</v>
      </c>
      <c r="E15" s="1" t="s">
        <v>373</v>
      </c>
      <c r="F15" s="1" t="n">
        <v>9</v>
      </c>
      <c r="I15" s="1" t="n">
        <v>9</v>
      </c>
    </row>
    <row r="16" customFormat="false" ht="15" hidden="false" customHeight="false" outlineLevel="0" collapsed="false">
      <c r="A16" s="1" t="n">
        <v>14</v>
      </c>
      <c r="B16" s="3" t="s">
        <v>60</v>
      </c>
      <c r="C16" s="1" t="s">
        <v>60</v>
      </c>
      <c r="D16" s="1" t="s">
        <v>374</v>
      </c>
      <c r="E16" s="1" t="s">
        <v>375</v>
      </c>
      <c r="F16" s="1" t="n">
        <v>9</v>
      </c>
      <c r="I16" s="1" t="n">
        <v>9</v>
      </c>
    </row>
    <row r="17" customFormat="false" ht="15" hidden="false" customHeight="false" outlineLevel="0" collapsed="false">
      <c r="A17" s="1" t="n">
        <v>15</v>
      </c>
      <c r="B17" s="3" t="s">
        <v>63</v>
      </c>
      <c r="F17" s="1" t="n">
        <v>1</v>
      </c>
      <c r="I17" s="1" t="n">
        <v>1</v>
      </c>
    </row>
    <row r="18" customFormat="false" ht="15" hidden="false" customHeight="false" outlineLevel="0" collapsed="false">
      <c r="A18" s="1" t="n">
        <v>16</v>
      </c>
      <c r="B18" s="3" t="s">
        <v>66</v>
      </c>
      <c r="C18" s="1" t="s">
        <v>66</v>
      </c>
      <c r="D18" s="1" t="s">
        <v>376</v>
      </c>
      <c r="E18" s="1" t="s">
        <v>377</v>
      </c>
      <c r="F18" s="1" t="n">
        <v>10</v>
      </c>
      <c r="I18" s="1" t="n">
        <v>10</v>
      </c>
    </row>
    <row r="19" customFormat="false" ht="15" hidden="false" customHeight="false" outlineLevel="0" collapsed="false">
      <c r="A19" s="1" t="n">
        <v>17</v>
      </c>
      <c r="B19" s="3" t="s">
        <v>69</v>
      </c>
      <c r="C19" s="1" t="s">
        <v>69</v>
      </c>
      <c r="D19" s="1" t="s">
        <v>329</v>
      </c>
      <c r="E19" s="1" t="s">
        <v>378</v>
      </c>
      <c r="F19" s="1" t="n">
        <v>9</v>
      </c>
      <c r="G19" s="1" t="n">
        <f aca="false">AVERAGE(F19:F21)</f>
        <v>7.66666666666667</v>
      </c>
      <c r="H19" s="1" t="n">
        <v>9</v>
      </c>
      <c r="I19" s="1" t="n">
        <f aca="false">ROUND(MAX(H19,G19),0)</f>
        <v>9</v>
      </c>
    </row>
    <row r="20" customFormat="false" ht="15" hidden="false" customHeight="false" outlineLevel="0" collapsed="false">
      <c r="C20" s="1" t="s">
        <v>69</v>
      </c>
      <c r="D20" s="1" t="s">
        <v>379</v>
      </c>
      <c r="E20" s="1" t="s">
        <v>380</v>
      </c>
      <c r="F20" s="1" t="n">
        <v>5</v>
      </c>
    </row>
    <row r="21" customFormat="false" ht="15" hidden="false" customHeight="false" outlineLevel="0" collapsed="false">
      <c r="C21" s="1" t="s">
        <v>69</v>
      </c>
      <c r="D21" s="1" t="s">
        <v>381</v>
      </c>
      <c r="E21" s="1" t="s">
        <v>382</v>
      </c>
      <c r="F21" s="1" t="n">
        <v>9</v>
      </c>
    </row>
    <row r="22" customFormat="false" ht="15" hidden="false" customHeight="false" outlineLevel="0" collapsed="false">
      <c r="A22" s="1" t="n">
        <v>18</v>
      </c>
      <c r="B22" s="3" t="s">
        <v>72</v>
      </c>
      <c r="F22" s="1" t="n">
        <v>1</v>
      </c>
      <c r="I22" s="1" t="n">
        <v>1</v>
      </c>
    </row>
    <row r="23" customFormat="false" ht="15" hidden="false" customHeight="false" outlineLevel="0" collapsed="false">
      <c r="A23" s="1" t="n">
        <v>19</v>
      </c>
      <c r="B23" s="3" t="s">
        <v>75</v>
      </c>
      <c r="C23" s="1" t="s">
        <v>75</v>
      </c>
      <c r="D23" s="1" t="s">
        <v>383</v>
      </c>
      <c r="E23" s="1" t="s">
        <v>384</v>
      </c>
      <c r="F23" s="1" t="n">
        <v>10</v>
      </c>
      <c r="I23" s="1" t="n">
        <v>10</v>
      </c>
    </row>
    <row r="24" customFormat="false" ht="15" hidden="false" customHeight="false" outlineLevel="0" collapsed="false">
      <c r="A24" s="1" t="n">
        <v>20</v>
      </c>
      <c r="B24" s="3" t="s">
        <v>78</v>
      </c>
      <c r="F24" s="1" t="n">
        <v>1</v>
      </c>
      <c r="I24" s="1" t="n">
        <v>1</v>
      </c>
    </row>
    <row r="25" customFormat="false" ht="15" hidden="false" customHeight="false" outlineLevel="0" collapsed="false">
      <c r="A25" s="1" t="n">
        <v>21</v>
      </c>
      <c r="B25" s="3" t="s">
        <v>81</v>
      </c>
      <c r="C25" s="1" t="s">
        <v>81</v>
      </c>
      <c r="D25" s="1" t="s">
        <v>385</v>
      </c>
      <c r="E25" s="1" t="s">
        <v>386</v>
      </c>
      <c r="F25" s="1" t="n">
        <v>10</v>
      </c>
      <c r="I25" s="1" t="n">
        <v>10</v>
      </c>
    </row>
    <row r="26" customFormat="false" ht="15" hidden="false" customHeight="false" outlineLevel="0" collapsed="false">
      <c r="A26" s="1" t="n">
        <v>22</v>
      </c>
      <c r="B26" s="3" t="s">
        <v>85</v>
      </c>
      <c r="C26" s="1" t="s">
        <v>85</v>
      </c>
      <c r="D26" s="1" t="s">
        <v>387</v>
      </c>
      <c r="E26" s="1" t="s">
        <v>388</v>
      </c>
      <c r="F26" s="1" t="n">
        <v>10</v>
      </c>
      <c r="I26" s="1" t="n">
        <v>10</v>
      </c>
    </row>
    <row r="27" customFormat="false" ht="15" hidden="false" customHeight="false" outlineLevel="0" collapsed="false">
      <c r="A27" s="1" t="n">
        <v>23</v>
      </c>
      <c r="B27" s="3" t="s">
        <v>88</v>
      </c>
      <c r="C27" s="1" t="s">
        <v>88</v>
      </c>
      <c r="D27" s="1" t="s">
        <v>389</v>
      </c>
      <c r="E27" s="1" t="s">
        <v>390</v>
      </c>
      <c r="F27" s="1" t="n">
        <v>10</v>
      </c>
      <c r="I27" s="1" t="n">
        <v>10</v>
      </c>
    </row>
    <row r="28" customFormat="false" ht="15" hidden="false" customHeight="false" outlineLevel="0" collapsed="false">
      <c r="A28" s="1" t="n">
        <v>24</v>
      </c>
      <c r="B28" s="3" t="s">
        <v>91</v>
      </c>
      <c r="C28" s="1" t="s">
        <v>91</v>
      </c>
      <c r="D28" s="1" t="s">
        <v>391</v>
      </c>
      <c r="E28" s="1" t="s">
        <v>392</v>
      </c>
      <c r="F28" s="1" t="n">
        <v>10</v>
      </c>
      <c r="I28" s="1" t="n">
        <v>10</v>
      </c>
    </row>
    <row r="29" customFormat="false" ht="15" hidden="false" customHeight="false" outlineLevel="0" collapsed="false">
      <c r="A29" s="1" t="n">
        <v>25</v>
      </c>
      <c r="B29" s="3" t="s">
        <v>94</v>
      </c>
      <c r="C29" s="1" t="s">
        <v>94</v>
      </c>
      <c r="D29" s="1" t="s">
        <v>393</v>
      </c>
      <c r="E29" s="1" t="s">
        <v>394</v>
      </c>
      <c r="F29" s="1" t="n">
        <v>10</v>
      </c>
      <c r="I29" s="1" t="n">
        <v>10</v>
      </c>
    </row>
    <row r="30" customFormat="false" ht="15" hidden="false" customHeight="false" outlineLevel="0" collapsed="false">
      <c r="A30" s="1" t="n">
        <v>26</v>
      </c>
      <c r="B30" s="3" t="s">
        <v>97</v>
      </c>
      <c r="F30" s="1" t="n">
        <v>1</v>
      </c>
      <c r="I30" s="1" t="n">
        <v>1</v>
      </c>
    </row>
    <row r="31" customFormat="false" ht="15" hidden="false" customHeight="false" outlineLevel="0" collapsed="false"/>
    <row r="32" customFormat="false" ht="15" hidden="false" customHeight="false" outlineLevel="0" collapsed="false"/>
    <row r="33" customFormat="false" ht="15" hidden="false" customHeight="false" outlineLevel="0" collapsed="false"/>
    <row r="34" customFormat="false" ht="15" hidden="false" customHeight="false" outlineLevel="0" collapsed="false"/>
    <row r="35" customFormat="false" ht="15" hidden="false" customHeight="false" outlineLevel="0" collapsed="false"/>
    <row r="36" customFormat="false" ht="15" hidden="false" customHeight="false" outlineLevel="0" collapsed="false"/>
    <row r="37" customFormat="false" ht="15" hidden="false" customHeight="false" outlineLevel="0" collapsed="false"/>
    <row r="38" customFormat="false" ht="15" hidden="false" customHeight="false" outlineLevel="0" collapsed="false"/>
    <row r="39" customFormat="false" ht="15" hidden="false" customHeight="false" outlineLevel="0" collapsed="false"/>
    <row r="40" customFormat="false" ht="15" hidden="false" customHeight="false" outlineLevel="0" collapsed="false"/>
    <row r="41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&amp;C&amp;"Arial,Regular"&amp;10&amp;Kffffff&amp;A</oddHeader>
    <oddFooter>&amp;C&amp;"Arial,Regular"&amp;10&amp;KffffffPage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G1" activeCellId="0" sqref="G1"/>
    </sheetView>
  </sheetViews>
  <sheetFormatPr defaultColWidth="9.63671875" defaultRowHeight="12.8" zeroHeight="false" outlineLevelRow="0" outlineLevelCol="0"/>
  <cols>
    <col collapsed="false" customWidth="true" hidden="false" outlineLevel="0" max="1" min="1" style="1" width="3.29"/>
    <col collapsed="false" customWidth="true" hidden="false" outlineLevel="0" max="3" min="2" style="1" width="18.61"/>
    <col collapsed="false" customWidth="true" hidden="false" outlineLevel="0" max="4" min="4" style="1" width="22.63"/>
    <col collapsed="false" customWidth="true" hidden="false" outlineLevel="0" max="5" min="5" style="1" width="22.2"/>
  </cols>
  <sheetData>
    <row r="1" customFormat="false" ht="15" hidden="false" customHeight="false" outlineLevel="0" collapsed="false">
      <c r="C1" s="1" t="s">
        <v>3</v>
      </c>
      <c r="D1" s="1" t="s">
        <v>232</v>
      </c>
      <c r="E1" s="1" t="s">
        <v>233</v>
      </c>
      <c r="F1" s="1" t="s">
        <v>234</v>
      </c>
      <c r="G1" s="1" t="s">
        <v>116</v>
      </c>
      <c r="H1" s="1" t="s">
        <v>235</v>
      </c>
      <c r="I1" s="1" t="s">
        <v>236</v>
      </c>
    </row>
    <row r="2" customFormat="false" ht="15" hidden="false" customHeight="false" outlineLevel="0" collapsed="false">
      <c r="A2" s="1" t="n">
        <v>1</v>
      </c>
      <c r="B2" s="3" t="s">
        <v>16</v>
      </c>
      <c r="F2" s="1" t="n">
        <v>1</v>
      </c>
      <c r="I2" s="1" t="n">
        <v>1</v>
      </c>
    </row>
    <row r="3" customFormat="false" ht="15" hidden="false" customHeight="false" outlineLevel="0" collapsed="false">
      <c r="A3" s="1" t="n">
        <v>2</v>
      </c>
      <c r="B3" s="3" t="s">
        <v>23</v>
      </c>
      <c r="F3" s="1" t="n">
        <v>1</v>
      </c>
      <c r="I3" s="1" t="n">
        <v>1</v>
      </c>
    </row>
    <row r="4" customFormat="false" ht="15" hidden="false" customHeight="false" outlineLevel="0" collapsed="false">
      <c r="A4" s="1" t="n">
        <v>3</v>
      </c>
      <c r="B4" s="3" t="s">
        <v>26</v>
      </c>
      <c r="C4" s="1" t="s">
        <v>26</v>
      </c>
      <c r="D4" s="1" t="s">
        <v>395</v>
      </c>
      <c r="E4" s="1" t="s">
        <v>396</v>
      </c>
      <c r="F4" s="1" t="n">
        <v>10</v>
      </c>
      <c r="I4" s="1" t="n">
        <v>10</v>
      </c>
    </row>
    <row r="5" customFormat="false" ht="15" hidden="false" customHeight="false" outlineLevel="0" collapsed="false">
      <c r="A5" s="1" t="n">
        <v>4</v>
      </c>
      <c r="B5" s="3" t="s">
        <v>29</v>
      </c>
      <c r="F5" s="1" t="n">
        <v>1</v>
      </c>
      <c r="I5" s="1" t="n">
        <v>1</v>
      </c>
    </row>
    <row r="6" customFormat="false" ht="15" hidden="false" customHeight="false" outlineLevel="0" collapsed="false">
      <c r="A6" s="1" t="n">
        <v>5</v>
      </c>
      <c r="B6" s="3" t="s">
        <v>32</v>
      </c>
      <c r="F6" s="1" t="n">
        <v>1</v>
      </c>
      <c r="I6" s="1" t="n">
        <v>1</v>
      </c>
    </row>
    <row r="7" customFormat="false" ht="15" hidden="false" customHeight="false" outlineLevel="0" collapsed="false">
      <c r="A7" s="1" t="n">
        <v>6</v>
      </c>
      <c r="B7" s="3" t="s">
        <v>35</v>
      </c>
      <c r="F7" s="1" t="n">
        <v>1</v>
      </c>
      <c r="I7" s="1" t="n">
        <v>1</v>
      </c>
    </row>
    <row r="8" customFormat="false" ht="15" hidden="false" customHeight="false" outlineLevel="0" collapsed="false">
      <c r="A8" s="1" t="n">
        <v>7</v>
      </c>
      <c r="B8" s="3" t="s">
        <v>38</v>
      </c>
      <c r="F8" s="1" t="n">
        <v>1</v>
      </c>
      <c r="I8" s="1" t="n">
        <v>1</v>
      </c>
    </row>
    <row r="9" customFormat="false" ht="15" hidden="false" customHeight="false" outlineLevel="0" collapsed="false">
      <c r="A9" s="1" t="n">
        <v>8</v>
      </c>
      <c r="B9" s="3" t="s">
        <v>41</v>
      </c>
      <c r="F9" s="1" t="n">
        <v>1</v>
      </c>
      <c r="I9" s="1" t="n">
        <v>1</v>
      </c>
    </row>
    <row r="10" customFormat="false" ht="15" hidden="false" customHeight="false" outlineLevel="0" collapsed="false">
      <c r="A10" s="1" t="n">
        <v>9</v>
      </c>
      <c r="B10" s="3" t="s">
        <v>44</v>
      </c>
      <c r="C10" s="1" t="s">
        <v>44</v>
      </c>
      <c r="D10" s="1" t="s">
        <v>397</v>
      </c>
      <c r="E10" s="1" t="s">
        <v>398</v>
      </c>
      <c r="F10" s="1" t="n">
        <v>10</v>
      </c>
      <c r="G10" s="1" t="n">
        <f aca="false">AVERAGE(F10:F11)</f>
        <v>9</v>
      </c>
      <c r="H10" s="1" t="n">
        <v>8</v>
      </c>
      <c r="I10" s="1" t="n">
        <f aca="false">ROUND(MAX(H10,G10),0)</f>
        <v>9</v>
      </c>
    </row>
    <row r="11" customFormat="false" ht="15" hidden="false" customHeight="false" outlineLevel="0" collapsed="false">
      <c r="C11" s="1" t="s">
        <v>44</v>
      </c>
      <c r="D11" s="1" t="s">
        <v>399</v>
      </c>
      <c r="E11" s="1" t="s">
        <v>400</v>
      </c>
      <c r="F11" s="1" t="n">
        <v>8</v>
      </c>
    </row>
    <row r="12" customFormat="false" ht="15" hidden="false" customHeight="false" outlineLevel="0" collapsed="false">
      <c r="A12" s="1" t="n">
        <v>10</v>
      </c>
      <c r="B12" s="3" t="s">
        <v>47</v>
      </c>
      <c r="F12" s="1" t="n">
        <v>1</v>
      </c>
      <c r="I12" s="1" t="n">
        <v>1</v>
      </c>
    </row>
    <row r="13" customFormat="false" ht="15" hidden="false" customHeight="false" outlineLevel="0" collapsed="false">
      <c r="A13" s="1" t="n">
        <v>11</v>
      </c>
      <c r="B13" s="3" t="s">
        <v>50</v>
      </c>
      <c r="F13" s="1" t="n">
        <v>1</v>
      </c>
      <c r="I13" s="1" t="n">
        <v>1</v>
      </c>
    </row>
    <row r="14" customFormat="false" ht="15" hidden="false" customHeight="false" outlineLevel="0" collapsed="false">
      <c r="A14" s="1" t="n">
        <v>12</v>
      </c>
      <c r="B14" s="3" t="s">
        <v>53</v>
      </c>
      <c r="F14" s="1" t="n">
        <v>1</v>
      </c>
      <c r="I14" s="1" t="n">
        <v>1</v>
      </c>
    </row>
    <row r="15" customFormat="false" ht="15" hidden="false" customHeight="false" outlineLevel="0" collapsed="false">
      <c r="A15" s="1" t="n">
        <v>13</v>
      </c>
      <c r="B15" s="3" t="s">
        <v>56</v>
      </c>
      <c r="C15" s="1" t="s">
        <v>56</v>
      </c>
      <c r="D15" s="1" t="s">
        <v>376</v>
      </c>
      <c r="E15" s="1" t="s">
        <v>401</v>
      </c>
      <c r="F15" s="1" t="n">
        <v>10</v>
      </c>
      <c r="I15" s="1" t="n">
        <v>10</v>
      </c>
    </row>
    <row r="16" customFormat="false" ht="15" hidden="false" customHeight="false" outlineLevel="0" collapsed="false">
      <c r="A16" s="1" t="n">
        <v>14</v>
      </c>
      <c r="B16" s="3" t="s">
        <v>60</v>
      </c>
      <c r="C16" s="1" t="s">
        <v>60</v>
      </c>
      <c r="D16" s="1" t="s">
        <v>402</v>
      </c>
      <c r="E16" s="1" t="s">
        <v>403</v>
      </c>
      <c r="F16" s="1" t="n">
        <v>9</v>
      </c>
      <c r="I16" s="1" t="n">
        <v>9</v>
      </c>
    </row>
    <row r="17" customFormat="false" ht="15" hidden="false" customHeight="false" outlineLevel="0" collapsed="false">
      <c r="A17" s="1" t="n">
        <v>15</v>
      </c>
      <c r="B17" s="3" t="s">
        <v>63</v>
      </c>
      <c r="F17" s="1" t="n">
        <v>1</v>
      </c>
      <c r="I17" s="1" t="n">
        <v>1</v>
      </c>
    </row>
    <row r="18" customFormat="false" ht="15" hidden="false" customHeight="false" outlineLevel="0" collapsed="false">
      <c r="A18" s="1" t="n">
        <v>16</v>
      </c>
      <c r="B18" s="3" t="s">
        <v>66</v>
      </c>
      <c r="C18" s="1" t="s">
        <v>66</v>
      </c>
      <c r="D18" s="1" t="s">
        <v>404</v>
      </c>
      <c r="E18" s="1" t="s">
        <v>405</v>
      </c>
      <c r="F18" s="1" t="n">
        <v>7</v>
      </c>
      <c r="I18" s="1" t="n">
        <v>7</v>
      </c>
    </row>
    <row r="19" customFormat="false" ht="15" hidden="false" customHeight="false" outlineLevel="0" collapsed="false">
      <c r="A19" s="1" t="n">
        <v>17</v>
      </c>
      <c r="B19" s="3" t="s">
        <v>69</v>
      </c>
      <c r="C19" s="1" t="s">
        <v>69</v>
      </c>
      <c r="D19" s="1" t="s">
        <v>406</v>
      </c>
      <c r="E19" s="1" t="s">
        <v>407</v>
      </c>
      <c r="F19" s="1" t="n">
        <v>9</v>
      </c>
      <c r="I19" s="1" t="n">
        <v>9</v>
      </c>
    </row>
    <row r="20" customFormat="false" ht="15" hidden="false" customHeight="false" outlineLevel="0" collapsed="false">
      <c r="A20" s="1" t="n">
        <v>18</v>
      </c>
      <c r="B20" s="3" t="s">
        <v>72</v>
      </c>
      <c r="C20" s="1" t="s">
        <v>72</v>
      </c>
      <c r="D20" s="1" t="s">
        <v>408</v>
      </c>
      <c r="E20" s="1" t="s">
        <v>409</v>
      </c>
      <c r="F20" s="1" t="n">
        <v>7</v>
      </c>
      <c r="I20" s="1" t="n">
        <v>7</v>
      </c>
    </row>
    <row r="21" customFormat="false" ht="15" hidden="false" customHeight="false" outlineLevel="0" collapsed="false">
      <c r="A21" s="1" t="n">
        <v>19</v>
      </c>
      <c r="B21" s="3" t="s">
        <v>75</v>
      </c>
      <c r="C21" s="1" t="s">
        <v>75</v>
      </c>
      <c r="D21" s="1" t="s">
        <v>410</v>
      </c>
      <c r="E21" s="1" t="s">
        <v>411</v>
      </c>
      <c r="F21" s="1" t="n">
        <v>9</v>
      </c>
      <c r="G21" s="1" t="n">
        <f aca="false">AVERAGE(F21:F22)</f>
        <v>7.5</v>
      </c>
      <c r="H21" s="1" t="n">
        <v>6</v>
      </c>
      <c r="I21" s="1" t="n">
        <f aca="false">ROUND(MAX(H21,G21),0)</f>
        <v>8</v>
      </c>
    </row>
    <row r="22" customFormat="false" ht="15" hidden="false" customHeight="false" outlineLevel="0" collapsed="false">
      <c r="C22" s="1" t="s">
        <v>75</v>
      </c>
      <c r="D22" s="1" t="s">
        <v>412</v>
      </c>
      <c r="E22" s="1" t="s">
        <v>413</v>
      </c>
      <c r="F22" s="1" t="n">
        <v>6</v>
      </c>
    </row>
    <row r="23" customFormat="false" ht="15" hidden="false" customHeight="false" outlineLevel="0" collapsed="false">
      <c r="A23" s="1" t="n">
        <v>20</v>
      </c>
      <c r="B23" s="3" t="s">
        <v>78</v>
      </c>
      <c r="F23" s="1" t="n">
        <v>1</v>
      </c>
      <c r="I23" s="1" t="n">
        <v>1</v>
      </c>
    </row>
    <row r="24" customFormat="false" ht="15" hidden="false" customHeight="false" outlineLevel="0" collapsed="false">
      <c r="A24" s="1" t="n">
        <v>21</v>
      </c>
      <c r="B24" s="3" t="s">
        <v>81</v>
      </c>
      <c r="F24" s="1" t="n">
        <v>1</v>
      </c>
      <c r="I24" s="1" t="n">
        <v>1</v>
      </c>
    </row>
    <row r="25" customFormat="false" ht="15" hidden="false" customHeight="false" outlineLevel="0" collapsed="false">
      <c r="A25" s="1" t="n">
        <v>22</v>
      </c>
      <c r="B25" s="3" t="s">
        <v>85</v>
      </c>
      <c r="C25" s="1" t="s">
        <v>85</v>
      </c>
      <c r="D25" s="1" t="s">
        <v>414</v>
      </c>
      <c r="E25" s="1" t="s">
        <v>415</v>
      </c>
      <c r="F25" s="1" t="n">
        <v>10</v>
      </c>
      <c r="I25" s="1" t="n">
        <v>10</v>
      </c>
    </row>
    <row r="26" customFormat="false" ht="15" hidden="false" customHeight="false" outlineLevel="0" collapsed="false">
      <c r="A26" s="1" t="n">
        <v>23</v>
      </c>
      <c r="B26" s="3" t="s">
        <v>88</v>
      </c>
      <c r="C26" s="1" t="s">
        <v>88</v>
      </c>
      <c r="D26" s="1" t="s">
        <v>416</v>
      </c>
      <c r="E26" s="1" t="s">
        <v>417</v>
      </c>
      <c r="F26" s="1" t="n">
        <v>10</v>
      </c>
      <c r="I26" s="1" t="n">
        <v>10</v>
      </c>
    </row>
    <row r="27" customFormat="false" ht="15" hidden="false" customHeight="false" outlineLevel="0" collapsed="false">
      <c r="A27" s="1" t="n">
        <v>24</v>
      </c>
      <c r="B27" s="3" t="s">
        <v>91</v>
      </c>
      <c r="C27" s="1" t="s">
        <v>91</v>
      </c>
      <c r="D27" s="1" t="s">
        <v>335</v>
      </c>
      <c r="E27" s="1" t="s">
        <v>418</v>
      </c>
      <c r="F27" s="1" t="n">
        <v>10</v>
      </c>
      <c r="I27" s="1" t="n">
        <v>10</v>
      </c>
    </row>
    <row r="28" customFormat="false" ht="15" hidden="false" customHeight="false" outlineLevel="0" collapsed="false">
      <c r="A28" s="1" t="n">
        <v>25</v>
      </c>
      <c r="B28" s="3" t="s">
        <v>94</v>
      </c>
      <c r="C28" s="1" t="s">
        <v>94</v>
      </c>
      <c r="D28" s="1" t="s">
        <v>351</v>
      </c>
      <c r="E28" s="1" t="s">
        <v>419</v>
      </c>
      <c r="F28" s="1" t="n">
        <v>8</v>
      </c>
      <c r="I28" s="1" t="n">
        <v>8</v>
      </c>
    </row>
    <row r="29" customFormat="false" ht="15" hidden="false" customHeight="false" outlineLevel="0" collapsed="false">
      <c r="A29" s="1" t="n">
        <v>26</v>
      </c>
      <c r="B29" s="3" t="s">
        <v>97</v>
      </c>
      <c r="F29" s="1" t="n">
        <v>1</v>
      </c>
      <c r="I29" s="1" t="n">
        <v>1</v>
      </c>
    </row>
    <row r="30" customFormat="false" ht="15" hidden="false" customHeight="false" outlineLevel="0" collapsed="false"/>
    <row r="31" customFormat="false" ht="15" hidden="false" customHeight="false" outlineLevel="0" collapsed="false"/>
    <row r="32" customFormat="false" ht="15" hidden="false" customHeight="false" outlineLevel="0" collapsed="false"/>
    <row r="33" customFormat="false" ht="15" hidden="false" customHeight="false" outlineLevel="0" collapsed="false"/>
    <row r="34" customFormat="false" ht="15" hidden="false" customHeight="false" outlineLevel="0" collapsed="false"/>
    <row r="35" customFormat="false" ht="15" hidden="false" customHeight="false" outlineLevel="0" collapsed="false"/>
    <row r="36" customFormat="false" ht="15" hidden="false" customHeight="false" outlineLevel="0" collapsed="false"/>
    <row r="37" customFormat="false" ht="15" hidden="false" customHeight="false" outlineLevel="0" collapsed="false"/>
    <row r="38" customFormat="false" ht="15" hidden="false" customHeight="false" outlineLevel="0" collapsed="false"/>
    <row r="39" customFormat="false" ht="15" hidden="false" customHeight="false" outlineLevel="0" collapsed="false"/>
    <row r="40" customFormat="false" ht="15" hidden="false" customHeight="false" outlineLevel="0" collapsed="false"/>
    <row r="41" customFormat="false" ht="15" hidden="false" customHeight="false" outlineLevel="0" collapsed="false"/>
    <row r="42" customFormat="false" ht="15" hidden="false" customHeight="false" outlineLevel="0" collapsed="false"/>
    <row r="43" customFormat="false" ht="15" hidden="false" customHeight="false" outlineLevel="0" collapsed="false"/>
    <row r="44" customFormat="false" ht="15" hidden="false" customHeight="false" outlineLevel="0" collapsed="false"/>
    <row r="45" customFormat="false" ht="15" hidden="false" customHeight="false" outlineLevel="0" collapsed="false"/>
    <row r="46" customFormat="false" ht="15" hidden="false" customHeight="false" outlineLevel="0" collapsed="false"/>
    <row r="47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&amp;C&amp;"Arial,Regular"&amp;10&amp;Kffffff&amp;A</oddHeader>
    <oddFooter>&amp;C&amp;"Arial,Regular"&amp;10&amp;KffffffPage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G1" activeCellId="0" sqref="G1"/>
    </sheetView>
  </sheetViews>
  <sheetFormatPr defaultColWidth="9.63671875" defaultRowHeight="12.8" zeroHeight="false" outlineLevelRow="0" outlineLevelCol="0"/>
  <cols>
    <col collapsed="false" customWidth="true" hidden="false" outlineLevel="0" max="1" min="1" style="1" width="3.29"/>
    <col collapsed="false" customWidth="true" hidden="false" outlineLevel="0" max="3" min="2" style="1" width="18.61"/>
    <col collapsed="false" customWidth="true" hidden="false" outlineLevel="0" max="4" min="4" style="1" width="22.63"/>
    <col collapsed="false" customWidth="true" hidden="false" outlineLevel="0" max="5" min="5" style="1" width="21.19"/>
    <col collapsed="false" customWidth="true" hidden="false" outlineLevel="0" max="6" min="6" style="1" width="16.12"/>
  </cols>
  <sheetData>
    <row r="1" customFormat="false" ht="15" hidden="false" customHeight="false" outlineLevel="0" collapsed="false">
      <c r="C1" s="1" t="s">
        <v>3</v>
      </c>
      <c r="D1" s="1" t="s">
        <v>232</v>
      </c>
      <c r="E1" s="1" t="s">
        <v>233</v>
      </c>
      <c r="F1" s="1" t="s">
        <v>234</v>
      </c>
      <c r="G1" s="1" t="s">
        <v>116</v>
      </c>
      <c r="H1" s="1" t="s">
        <v>235</v>
      </c>
      <c r="I1" s="1" t="s">
        <v>236</v>
      </c>
    </row>
    <row r="2" customFormat="false" ht="15" hidden="false" customHeight="false" outlineLevel="0" collapsed="false">
      <c r="A2" s="1" t="n">
        <v>1</v>
      </c>
      <c r="B2" s="3" t="s">
        <v>16</v>
      </c>
      <c r="C2" s="1" t="s">
        <v>16</v>
      </c>
      <c r="D2" s="1" t="s">
        <v>420</v>
      </c>
      <c r="E2" s="1" t="s">
        <v>421</v>
      </c>
      <c r="F2" s="1" t="n">
        <v>8</v>
      </c>
      <c r="I2" s="1" t="n">
        <v>8</v>
      </c>
    </row>
    <row r="3" customFormat="false" ht="15" hidden="false" customHeight="false" outlineLevel="0" collapsed="false">
      <c r="A3" s="1" t="n">
        <v>2</v>
      </c>
      <c r="B3" s="3" t="s">
        <v>23</v>
      </c>
      <c r="F3" s="1" t="n">
        <v>1</v>
      </c>
      <c r="I3" s="1" t="n">
        <v>1</v>
      </c>
    </row>
    <row r="4" customFormat="false" ht="15" hidden="false" customHeight="false" outlineLevel="0" collapsed="false">
      <c r="A4" s="1" t="n">
        <v>3</v>
      </c>
      <c r="B4" s="3" t="s">
        <v>26</v>
      </c>
      <c r="C4" s="1" t="s">
        <v>26</v>
      </c>
      <c r="D4" s="1" t="s">
        <v>422</v>
      </c>
      <c r="E4" s="1" t="s">
        <v>423</v>
      </c>
      <c r="F4" s="1" t="n">
        <v>8</v>
      </c>
      <c r="I4" s="1" t="n">
        <v>8</v>
      </c>
    </row>
    <row r="5" customFormat="false" ht="15" hidden="false" customHeight="false" outlineLevel="0" collapsed="false">
      <c r="A5" s="1" t="n">
        <v>4</v>
      </c>
      <c r="B5" s="3" t="s">
        <v>29</v>
      </c>
      <c r="C5" s="1" t="s">
        <v>29</v>
      </c>
      <c r="D5" s="1" t="s">
        <v>424</v>
      </c>
      <c r="E5" s="1" t="s">
        <v>425</v>
      </c>
      <c r="F5" s="1" t="n">
        <v>6</v>
      </c>
      <c r="I5" s="1" t="n">
        <v>6</v>
      </c>
    </row>
    <row r="6" customFormat="false" ht="15" hidden="false" customHeight="false" outlineLevel="0" collapsed="false">
      <c r="A6" s="1" t="n">
        <v>5</v>
      </c>
      <c r="B6" s="3" t="s">
        <v>32</v>
      </c>
      <c r="C6" s="1" t="s">
        <v>32</v>
      </c>
      <c r="D6" s="1" t="s">
        <v>426</v>
      </c>
      <c r="E6" s="1" t="s">
        <v>427</v>
      </c>
      <c r="F6" s="1" t="n">
        <v>10</v>
      </c>
      <c r="I6" s="1" t="n">
        <v>10</v>
      </c>
    </row>
    <row r="7" customFormat="false" ht="15" hidden="false" customHeight="false" outlineLevel="0" collapsed="false">
      <c r="A7" s="1" t="n">
        <v>6</v>
      </c>
      <c r="B7" s="3" t="s">
        <v>35</v>
      </c>
      <c r="F7" s="1" t="n">
        <v>1</v>
      </c>
      <c r="I7" s="1" t="n">
        <v>1</v>
      </c>
    </row>
    <row r="8" customFormat="false" ht="15" hidden="false" customHeight="false" outlineLevel="0" collapsed="false">
      <c r="A8" s="1" t="n">
        <v>7</v>
      </c>
      <c r="B8" s="3" t="s">
        <v>38</v>
      </c>
      <c r="C8" s="1" t="s">
        <v>38</v>
      </c>
      <c r="D8" s="1" t="s">
        <v>428</v>
      </c>
      <c r="E8" s="1" t="s">
        <v>429</v>
      </c>
      <c r="F8" s="1" t="n">
        <v>8</v>
      </c>
      <c r="I8" s="1" t="n">
        <v>8</v>
      </c>
    </row>
    <row r="9" customFormat="false" ht="15" hidden="false" customHeight="false" outlineLevel="0" collapsed="false">
      <c r="A9" s="1" t="n">
        <v>8</v>
      </c>
      <c r="B9" s="3" t="s">
        <v>41</v>
      </c>
      <c r="F9" s="1" t="n">
        <v>1</v>
      </c>
      <c r="I9" s="1" t="n">
        <v>1</v>
      </c>
    </row>
    <row r="10" customFormat="false" ht="15" hidden="false" customHeight="false" outlineLevel="0" collapsed="false">
      <c r="A10" s="1" t="n">
        <v>9</v>
      </c>
      <c r="B10" s="3" t="s">
        <v>44</v>
      </c>
      <c r="C10" s="1" t="s">
        <v>44</v>
      </c>
      <c r="D10" s="1" t="s">
        <v>430</v>
      </c>
      <c r="E10" s="1" t="s">
        <v>431</v>
      </c>
      <c r="F10" s="1" t="n">
        <v>8</v>
      </c>
      <c r="G10" s="1" t="n">
        <f aca="false">AVERAGE(F10:F11)</f>
        <v>7.5</v>
      </c>
      <c r="H10" s="1" t="n">
        <v>8</v>
      </c>
      <c r="I10" s="1" t="n">
        <f aca="false">ROUND(MAX(H10,G10),0)</f>
        <v>8</v>
      </c>
    </row>
    <row r="11" customFormat="false" ht="15" hidden="false" customHeight="false" outlineLevel="0" collapsed="false">
      <c r="C11" s="1" t="s">
        <v>44</v>
      </c>
      <c r="D11" s="1" t="s">
        <v>432</v>
      </c>
      <c r="E11" s="1" t="s">
        <v>433</v>
      </c>
      <c r="F11" s="1" t="n">
        <v>7</v>
      </c>
    </row>
    <row r="12" customFormat="false" ht="15" hidden="false" customHeight="false" outlineLevel="0" collapsed="false">
      <c r="A12" s="1" t="n">
        <v>10</v>
      </c>
      <c r="B12" s="3" t="s">
        <v>47</v>
      </c>
      <c r="F12" s="1" t="n">
        <v>1</v>
      </c>
      <c r="I12" s="1" t="n">
        <v>1</v>
      </c>
    </row>
    <row r="13" customFormat="false" ht="15" hidden="false" customHeight="false" outlineLevel="0" collapsed="false">
      <c r="A13" s="1" t="n">
        <v>11</v>
      </c>
      <c r="B13" s="3" t="s">
        <v>50</v>
      </c>
      <c r="C13" s="1" t="s">
        <v>50</v>
      </c>
      <c r="D13" s="1" t="s">
        <v>434</v>
      </c>
      <c r="E13" s="1" t="s">
        <v>396</v>
      </c>
      <c r="F13" s="1" t="n">
        <v>9</v>
      </c>
      <c r="I13" s="1" t="n">
        <v>9</v>
      </c>
    </row>
    <row r="14" customFormat="false" ht="15" hidden="false" customHeight="false" outlineLevel="0" collapsed="false">
      <c r="A14" s="1" t="n">
        <v>12</v>
      </c>
      <c r="B14" s="3" t="s">
        <v>53</v>
      </c>
      <c r="C14" s="1" t="s">
        <v>53</v>
      </c>
      <c r="D14" s="1" t="s">
        <v>435</v>
      </c>
      <c r="E14" s="1" t="s">
        <v>436</v>
      </c>
      <c r="F14" s="1" t="n">
        <v>10</v>
      </c>
      <c r="I14" s="1" t="n">
        <v>10</v>
      </c>
    </row>
    <row r="15" customFormat="false" ht="15" hidden="false" customHeight="false" outlineLevel="0" collapsed="false">
      <c r="A15" s="1" t="n">
        <v>13</v>
      </c>
      <c r="B15" s="3" t="s">
        <v>56</v>
      </c>
      <c r="C15" s="1" t="s">
        <v>56</v>
      </c>
      <c r="D15" s="1" t="s">
        <v>437</v>
      </c>
      <c r="E15" s="1" t="s">
        <v>255</v>
      </c>
      <c r="F15" s="1" t="n">
        <v>10</v>
      </c>
      <c r="G15" s="1" t="n">
        <f aca="false">AVERAGE(F15:F16)</f>
        <v>9.5</v>
      </c>
      <c r="H15" s="1" t="n">
        <v>8</v>
      </c>
      <c r="I15" s="1" t="n">
        <f aca="false">ROUND(MAX(H15,G15),0)</f>
        <v>10</v>
      </c>
    </row>
    <row r="16" customFormat="false" ht="15" hidden="false" customHeight="false" outlineLevel="0" collapsed="false">
      <c r="C16" s="1" t="s">
        <v>56</v>
      </c>
      <c r="D16" s="1" t="s">
        <v>438</v>
      </c>
      <c r="E16" s="1" t="s">
        <v>439</v>
      </c>
      <c r="F16" s="1" t="n">
        <v>9</v>
      </c>
    </row>
    <row r="17" customFormat="false" ht="15" hidden="false" customHeight="false" outlineLevel="0" collapsed="false">
      <c r="C17" s="1" t="s">
        <v>56</v>
      </c>
      <c r="D17" s="1" t="s">
        <v>440</v>
      </c>
      <c r="E17" s="1" t="s">
        <v>441</v>
      </c>
      <c r="F17" s="1" t="n">
        <v>9</v>
      </c>
    </row>
    <row r="18" customFormat="false" ht="15" hidden="false" customHeight="false" outlineLevel="0" collapsed="false">
      <c r="C18" s="1" t="s">
        <v>56</v>
      </c>
      <c r="D18" s="1" t="s">
        <v>442</v>
      </c>
      <c r="E18" s="1" t="s">
        <v>431</v>
      </c>
      <c r="F18" s="1" t="n">
        <v>7</v>
      </c>
    </row>
    <row r="19" customFormat="false" ht="15" hidden="false" customHeight="false" outlineLevel="0" collapsed="false">
      <c r="C19" s="1" t="s">
        <v>56</v>
      </c>
      <c r="D19" s="1" t="s">
        <v>443</v>
      </c>
      <c r="E19" s="1" t="s">
        <v>396</v>
      </c>
      <c r="F19" s="1" t="n">
        <v>6</v>
      </c>
    </row>
    <row r="20" customFormat="false" ht="15" hidden="false" customHeight="false" outlineLevel="0" collapsed="false">
      <c r="A20" s="1" t="n">
        <v>14</v>
      </c>
      <c r="B20" s="3" t="s">
        <v>60</v>
      </c>
      <c r="C20" s="1" t="s">
        <v>60</v>
      </c>
      <c r="D20" s="1" t="s">
        <v>444</v>
      </c>
      <c r="E20" s="1" t="s">
        <v>445</v>
      </c>
      <c r="F20" s="1" t="n">
        <v>9</v>
      </c>
      <c r="I20" s="1" t="n">
        <v>9</v>
      </c>
    </row>
    <row r="21" customFormat="false" ht="15" hidden="false" customHeight="false" outlineLevel="0" collapsed="false">
      <c r="A21" s="1" t="n">
        <v>15</v>
      </c>
      <c r="B21" s="3" t="s">
        <v>63</v>
      </c>
      <c r="F21" s="1" t="n">
        <v>1</v>
      </c>
      <c r="I21" s="1" t="n">
        <v>1</v>
      </c>
    </row>
    <row r="22" customFormat="false" ht="15" hidden="false" customHeight="false" outlineLevel="0" collapsed="false">
      <c r="A22" s="1" t="n">
        <v>16</v>
      </c>
      <c r="B22" s="3" t="s">
        <v>66</v>
      </c>
      <c r="C22" s="1" t="s">
        <v>66</v>
      </c>
      <c r="D22" s="1" t="s">
        <v>446</v>
      </c>
      <c r="E22" s="1" t="s">
        <v>447</v>
      </c>
      <c r="F22" s="1" t="n">
        <v>7</v>
      </c>
      <c r="I22" s="1" t="n">
        <v>7</v>
      </c>
    </row>
    <row r="23" customFormat="false" ht="15" hidden="false" customHeight="false" outlineLevel="0" collapsed="false">
      <c r="A23" s="1" t="n">
        <v>17</v>
      </c>
      <c r="B23" s="3" t="s">
        <v>69</v>
      </c>
      <c r="C23" s="1" t="s">
        <v>69</v>
      </c>
      <c r="D23" s="1" t="s">
        <v>448</v>
      </c>
      <c r="E23" s="1" t="s">
        <v>249</v>
      </c>
      <c r="F23" s="1" t="n">
        <v>9</v>
      </c>
      <c r="I23" s="1" t="n">
        <v>9</v>
      </c>
    </row>
    <row r="24" customFormat="false" ht="15" hidden="false" customHeight="false" outlineLevel="0" collapsed="false">
      <c r="A24" s="1" t="n">
        <v>18</v>
      </c>
      <c r="B24" s="3" t="s">
        <v>72</v>
      </c>
      <c r="C24" s="1" t="s">
        <v>72</v>
      </c>
      <c r="D24" s="1" t="s">
        <v>449</v>
      </c>
      <c r="E24" s="1" t="s">
        <v>450</v>
      </c>
      <c r="F24" s="1" t="n">
        <v>7</v>
      </c>
      <c r="I24" s="1" t="n">
        <v>7</v>
      </c>
    </row>
    <row r="25" customFormat="false" ht="15" hidden="false" customHeight="false" outlineLevel="0" collapsed="false">
      <c r="A25" s="1" t="n">
        <v>19</v>
      </c>
      <c r="B25" s="3" t="s">
        <v>75</v>
      </c>
      <c r="C25" s="1" t="s">
        <v>75</v>
      </c>
      <c r="D25" s="1" t="s">
        <v>451</v>
      </c>
      <c r="E25" s="1" t="s">
        <v>452</v>
      </c>
      <c r="F25" s="1" t="n">
        <v>10</v>
      </c>
      <c r="I25" s="1" t="n">
        <v>10</v>
      </c>
    </row>
    <row r="26" customFormat="false" ht="15" hidden="false" customHeight="false" outlineLevel="0" collapsed="false">
      <c r="A26" s="1" t="n">
        <v>20</v>
      </c>
      <c r="B26" s="3" t="s">
        <v>78</v>
      </c>
      <c r="F26" s="1" t="n">
        <v>1</v>
      </c>
      <c r="I26" s="1" t="n">
        <v>1</v>
      </c>
    </row>
    <row r="27" customFormat="false" ht="15" hidden="false" customHeight="false" outlineLevel="0" collapsed="false">
      <c r="A27" s="1" t="n">
        <v>21</v>
      </c>
      <c r="B27" s="3" t="s">
        <v>81</v>
      </c>
      <c r="C27" s="1" t="s">
        <v>81</v>
      </c>
      <c r="D27" s="1" t="s">
        <v>453</v>
      </c>
      <c r="E27" s="1" t="s">
        <v>405</v>
      </c>
      <c r="F27" s="1" t="n">
        <v>9</v>
      </c>
      <c r="I27" s="1" t="n">
        <v>9</v>
      </c>
    </row>
    <row r="28" customFormat="false" ht="15" hidden="false" customHeight="false" outlineLevel="0" collapsed="false">
      <c r="A28" s="1" t="n">
        <v>22</v>
      </c>
      <c r="B28" s="3" t="s">
        <v>85</v>
      </c>
      <c r="C28" s="1" t="s">
        <v>85</v>
      </c>
      <c r="D28" s="1" t="s">
        <v>454</v>
      </c>
      <c r="E28" s="1" t="s">
        <v>300</v>
      </c>
      <c r="F28" s="1" t="n">
        <v>10</v>
      </c>
      <c r="G28" s="1" t="n">
        <f aca="false">AVERAGE(F28:F29)</f>
        <v>9.5</v>
      </c>
      <c r="H28" s="1" t="n">
        <v>8</v>
      </c>
      <c r="I28" s="1" t="n">
        <f aca="false">ROUND(MAX(H28,G28),0)</f>
        <v>10</v>
      </c>
    </row>
    <row r="29" customFormat="false" ht="15" hidden="false" customHeight="false" outlineLevel="0" collapsed="false">
      <c r="C29" s="1" t="s">
        <v>85</v>
      </c>
      <c r="D29" s="1" t="s">
        <v>455</v>
      </c>
      <c r="E29" s="1" t="s">
        <v>456</v>
      </c>
      <c r="F29" s="1" t="n">
        <v>9</v>
      </c>
    </row>
    <row r="30" customFormat="false" ht="15" hidden="false" customHeight="false" outlineLevel="0" collapsed="false">
      <c r="C30" s="1" t="s">
        <v>85</v>
      </c>
      <c r="D30" s="1" t="s">
        <v>457</v>
      </c>
      <c r="E30" s="1" t="s">
        <v>458</v>
      </c>
      <c r="F30" s="1" t="n">
        <v>6</v>
      </c>
    </row>
    <row r="31" customFormat="false" ht="15" hidden="false" customHeight="false" outlineLevel="0" collapsed="false">
      <c r="C31" s="1" t="s">
        <v>85</v>
      </c>
      <c r="D31" s="1" t="s">
        <v>459</v>
      </c>
      <c r="E31" s="1" t="s">
        <v>460</v>
      </c>
      <c r="F31" s="1" t="n">
        <v>6</v>
      </c>
    </row>
    <row r="32" customFormat="false" ht="15" hidden="false" customHeight="false" outlineLevel="0" collapsed="false">
      <c r="C32" s="1" t="s">
        <v>85</v>
      </c>
      <c r="D32" s="1" t="s">
        <v>461</v>
      </c>
      <c r="E32" s="1" t="s">
        <v>409</v>
      </c>
      <c r="F32" s="1" t="n">
        <v>6</v>
      </c>
    </row>
    <row r="33" customFormat="false" ht="15" hidden="false" customHeight="false" outlineLevel="0" collapsed="false">
      <c r="C33" s="1" t="s">
        <v>85</v>
      </c>
      <c r="D33" s="1" t="s">
        <v>462</v>
      </c>
      <c r="E33" s="1" t="s">
        <v>463</v>
      </c>
      <c r="F33" s="1" t="n">
        <v>5</v>
      </c>
    </row>
    <row r="34" customFormat="false" ht="15" hidden="false" customHeight="false" outlineLevel="0" collapsed="false">
      <c r="A34" s="1" t="n">
        <v>23</v>
      </c>
      <c r="B34" s="3" t="s">
        <v>88</v>
      </c>
      <c r="C34" s="1" t="s">
        <v>88</v>
      </c>
      <c r="D34" s="1" t="s">
        <v>464</v>
      </c>
      <c r="E34" s="1" t="s">
        <v>465</v>
      </c>
      <c r="F34" s="1" t="n">
        <v>10</v>
      </c>
      <c r="I34" s="18" t="n">
        <v>10</v>
      </c>
    </row>
    <row r="35" customFormat="false" ht="15" hidden="false" customHeight="false" outlineLevel="0" collapsed="false">
      <c r="A35" s="1" t="n">
        <v>24</v>
      </c>
      <c r="B35" s="3" t="s">
        <v>91</v>
      </c>
      <c r="C35" s="1" t="s">
        <v>91</v>
      </c>
      <c r="D35" s="1" t="s">
        <v>466</v>
      </c>
      <c r="E35" s="1" t="s">
        <v>467</v>
      </c>
      <c r="F35" s="1" t="n">
        <v>10</v>
      </c>
      <c r="I35" s="1" t="n">
        <v>10</v>
      </c>
    </row>
    <row r="36" customFormat="false" ht="15" hidden="false" customHeight="false" outlineLevel="0" collapsed="false">
      <c r="A36" s="1" t="n">
        <v>25</v>
      </c>
      <c r="B36" s="3" t="s">
        <v>94</v>
      </c>
      <c r="C36" s="1" t="s">
        <v>94</v>
      </c>
      <c r="D36" s="1" t="s">
        <v>468</v>
      </c>
      <c r="E36" s="1" t="s">
        <v>469</v>
      </c>
      <c r="F36" s="1" t="n">
        <v>8</v>
      </c>
      <c r="G36" s="1" t="s">
        <v>470</v>
      </c>
      <c r="H36" s="1" t="n">
        <v>8</v>
      </c>
      <c r="I36" s="1" t="n">
        <f aca="false">ROUND(MAX(H36,G36),0)</f>
        <v>8</v>
      </c>
    </row>
    <row r="37" customFormat="false" ht="15" hidden="false" customHeight="false" outlineLevel="0" collapsed="false">
      <c r="C37" s="1" t="s">
        <v>94</v>
      </c>
      <c r="D37" s="1" t="s">
        <v>471</v>
      </c>
      <c r="E37" s="1" t="s">
        <v>472</v>
      </c>
      <c r="F37" s="1" t="n">
        <v>8</v>
      </c>
    </row>
    <row r="38" customFormat="false" ht="15" hidden="false" customHeight="false" outlineLevel="0" collapsed="false">
      <c r="C38" s="1" t="s">
        <v>94</v>
      </c>
      <c r="D38" s="1" t="s">
        <v>473</v>
      </c>
      <c r="E38" s="1" t="s">
        <v>474</v>
      </c>
      <c r="F38" s="1" t="n">
        <v>5</v>
      </c>
    </row>
    <row r="39" customFormat="false" ht="15" hidden="false" customHeight="false" outlineLevel="0" collapsed="false">
      <c r="A39" s="1" t="n">
        <v>26</v>
      </c>
      <c r="B39" s="3" t="s">
        <v>97</v>
      </c>
      <c r="F39" s="1" t="n">
        <v>1</v>
      </c>
      <c r="I39" s="1" t="n">
        <v>1</v>
      </c>
    </row>
    <row r="40" customFormat="false" ht="15" hidden="false" customHeight="false" outlineLevel="0" collapsed="false"/>
    <row r="41" customFormat="false" ht="15" hidden="false" customHeight="false" outlineLevel="0" collapsed="false"/>
    <row r="42" customFormat="false" ht="15" hidden="false" customHeight="false" outlineLevel="0" collapsed="false"/>
    <row r="43" customFormat="false" ht="15" hidden="false" customHeight="false" outlineLevel="0" collapsed="false"/>
    <row r="44" customFormat="false" ht="15" hidden="false" customHeight="false" outlineLevel="0" collapsed="false"/>
    <row r="45" customFormat="false" ht="15" hidden="false" customHeight="false" outlineLevel="0" collapsed="false"/>
    <row r="46" customFormat="false" ht="15" hidden="false" customHeight="false" outlineLevel="0" collapsed="false"/>
    <row r="47" customFormat="false" ht="15" hidden="false" customHeight="false" outlineLevel="0" collapsed="false"/>
    <row r="48" customFormat="false" ht="15" hidden="false" customHeight="false" outlineLevel="0" collapsed="false"/>
    <row r="49" customFormat="false" ht="15" hidden="false" customHeight="false" outlineLevel="0" collapsed="false"/>
    <row r="50" customFormat="false" ht="15" hidden="false" customHeight="false" outlineLevel="0" collapsed="false"/>
    <row r="51" customFormat="false" ht="15" hidden="false" customHeight="false" outlineLevel="0" collapsed="false"/>
    <row r="52" customFormat="false" ht="15" hidden="false" customHeight="false" outlineLevel="0" collapsed="false"/>
    <row r="53" customFormat="false" ht="15" hidden="false" customHeight="false" outlineLevel="0" collapsed="false"/>
    <row r="54" customFormat="false" ht="15" hidden="false" customHeight="false" outlineLevel="0" collapsed="false"/>
    <row r="55" customFormat="false" ht="15" hidden="false" customHeight="false" outlineLevel="0" collapsed="false"/>
    <row r="56" customFormat="false" ht="15" hidden="false" customHeight="false" outlineLevel="0" collapsed="false"/>
    <row r="57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&amp;C&amp;"Arial,Regular"&amp;10&amp;Kffffff&amp;A</oddHeader>
    <oddFooter>&amp;C&amp;"Arial,Regular"&amp;10&amp;KffffffPage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5"/>
  <sheetViews>
    <sheetView showFormulas="false" showGridLines="true" showRowColHeaders="true" showZeros="true" rightToLeft="false" tabSelected="false" showOutlineSymbols="true" defaultGridColor="true" view="normal" topLeftCell="A31" colorId="64" zoomScale="80" zoomScaleNormal="80" zoomScalePageLayoutView="100" workbookViewId="0">
      <selection pane="topLeft" activeCell="H38" activeCellId="0" sqref="H38"/>
    </sheetView>
  </sheetViews>
  <sheetFormatPr defaultColWidth="9.63671875" defaultRowHeight="12.8" zeroHeight="false" outlineLevelRow="0" outlineLevelCol="0"/>
  <cols>
    <col collapsed="false" customWidth="true" hidden="false" outlineLevel="0" max="1" min="1" style="1" width="3.29"/>
    <col collapsed="false" customWidth="true" hidden="false" outlineLevel="0" max="3" min="2" style="1" width="18.61"/>
    <col collapsed="false" customWidth="true" hidden="false" outlineLevel="0" max="4" min="4" style="1" width="22.63"/>
    <col collapsed="false" customWidth="true" hidden="false" outlineLevel="0" max="5" min="5" style="1" width="22.2"/>
    <col collapsed="false" customWidth="true" hidden="false" outlineLevel="0" max="6" min="6" style="1" width="16.12"/>
  </cols>
  <sheetData>
    <row r="1" customFormat="false" ht="15" hidden="false" customHeight="false" outlineLevel="0" collapsed="false">
      <c r="C1" s="1" t="s">
        <v>3</v>
      </c>
      <c r="D1" s="1" t="s">
        <v>232</v>
      </c>
      <c r="E1" s="1" t="s">
        <v>233</v>
      </c>
      <c r="F1" s="1" t="s">
        <v>234</v>
      </c>
      <c r="G1" s="1" t="s">
        <v>116</v>
      </c>
      <c r="H1" s="1" t="s">
        <v>235</v>
      </c>
      <c r="I1" s="1" t="s">
        <v>236</v>
      </c>
    </row>
    <row r="2" customFormat="false" ht="15" hidden="false" customHeight="false" outlineLevel="0" collapsed="false">
      <c r="A2" s="1" t="n">
        <v>1</v>
      </c>
      <c r="B2" s="3" t="s">
        <v>16</v>
      </c>
      <c r="C2" s="1" t="s">
        <v>16</v>
      </c>
      <c r="D2" s="1" t="s">
        <v>428</v>
      </c>
      <c r="E2" s="1" t="s">
        <v>475</v>
      </c>
      <c r="F2" s="1" t="n">
        <v>8</v>
      </c>
      <c r="I2" s="1" t="n">
        <v>8</v>
      </c>
    </row>
    <row r="3" customFormat="false" ht="15" hidden="false" customHeight="false" outlineLevel="0" collapsed="false">
      <c r="A3" s="1" t="n">
        <v>2</v>
      </c>
      <c r="B3" s="3" t="s">
        <v>23</v>
      </c>
      <c r="F3" s="1" t="n">
        <v>1</v>
      </c>
      <c r="I3" s="1" t="n">
        <v>1</v>
      </c>
    </row>
    <row r="4" customFormat="false" ht="15" hidden="false" customHeight="false" outlineLevel="0" collapsed="false">
      <c r="A4" s="1" t="n">
        <v>3</v>
      </c>
      <c r="B4" s="3" t="s">
        <v>26</v>
      </c>
      <c r="C4" s="1" t="s">
        <v>26</v>
      </c>
      <c r="D4" s="1" t="s">
        <v>476</v>
      </c>
      <c r="E4" s="1" t="s">
        <v>477</v>
      </c>
      <c r="F4" s="1" t="n">
        <v>8</v>
      </c>
      <c r="G4" s="1" t="n">
        <f aca="false">AVERAGE(F4:F5)</f>
        <v>7.5</v>
      </c>
      <c r="H4" s="1" t="n">
        <v>8</v>
      </c>
      <c r="I4" s="1" t="n">
        <f aca="false">ROUND(MAX(H4,G4),0)</f>
        <v>8</v>
      </c>
    </row>
    <row r="5" customFormat="false" ht="15" hidden="false" customHeight="false" outlineLevel="0" collapsed="false">
      <c r="C5" s="1" t="s">
        <v>26</v>
      </c>
      <c r="D5" s="1" t="s">
        <v>478</v>
      </c>
      <c r="E5" s="1" t="s">
        <v>479</v>
      </c>
      <c r="F5" s="1" t="n">
        <v>7</v>
      </c>
    </row>
    <row r="6" customFormat="false" ht="15" hidden="false" customHeight="false" outlineLevel="0" collapsed="false">
      <c r="A6" s="1" t="n">
        <v>4</v>
      </c>
      <c r="B6" s="3" t="s">
        <v>29</v>
      </c>
      <c r="C6" s="1" t="s">
        <v>29</v>
      </c>
      <c r="D6" s="1" t="s">
        <v>480</v>
      </c>
      <c r="E6" s="1" t="s">
        <v>481</v>
      </c>
      <c r="F6" s="1" t="n">
        <v>2</v>
      </c>
      <c r="I6" s="1" t="n">
        <v>2</v>
      </c>
    </row>
    <row r="7" customFormat="false" ht="15" hidden="false" customHeight="false" outlineLevel="0" collapsed="false">
      <c r="A7" s="1" t="n">
        <v>5</v>
      </c>
      <c r="B7" s="3" t="s">
        <v>32</v>
      </c>
      <c r="C7" s="1" t="s">
        <v>32</v>
      </c>
      <c r="D7" s="1" t="s">
        <v>482</v>
      </c>
      <c r="E7" s="1" t="s">
        <v>271</v>
      </c>
      <c r="F7" s="1" t="n">
        <v>10</v>
      </c>
      <c r="G7" s="1" t="n">
        <f aca="false">AVERAGE(F7:F8)</f>
        <v>9.5</v>
      </c>
      <c r="H7" s="1" t="n">
        <v>8</v>
      </c>
      <c r="I7" s="1" t="n">
        <f aca="false">ROUND(MAX(H7,G7),0)</f>
        <v>10</v>
      </c>
    </row>
    <row r="8" customFormat="false" ht="15" hidden="false" customHeight="false" outlineLevel="0" collapsed="false">
      <c r="C8" s="1" t="s">
        <v>32</v>
      </c>
      <c r="D8" s="1" t="s">
        <v>483</v>
      </c>
      <c r="E8" s="1" t="s">
        <v>398</v>
      </c>
      <c r="F8" s="1" t="n">
        <v>9</v>
      </c>
    </row>
    <row r="9" customFormat="false" ht="15" hidden="false" customHeight="false" outlineLevel="0" collapsed="false">
      <c r="C9" s="1" t="s">
        <v>32</v>
      </c>
      <c r="D9" s="1" t="s">
        <v>484</v>
      </c>
      <c r="E9" s="1" t="s">
        <v>380</v>
      </c>
      <c r="F9" s="1" t="n">
        <v>7</v>
      </c>
    </row>
    <row r="10" customFormat="false" ht="15" hidden="false" customHeight="false" outlineLevel="0" collapsed="false">
      <c r="C10" s="1" t="s">
        <v>32</v>
      </c>
      <c r="D10" s="1" t="s">
        <v>485</v>
      </c>
      <c r="E10" s="1" t="s">
        <v>486</v>
      </c>
      <c r="F10" s="1" t="n">
        <v>6</v>
      </c>
    </row>
    <row r="11" customFormat="false" ht="15" hidden="false" customHeight="false" outlineLevel="0" collapsed="false">
      <c r="C11" s="1" t="s">
        <v>32</v>
      </c>
      <c r="D11" s="1" t="s">
        <v>487</v>
      </c>
      <c r="E11" s="1" t="s">
        <v>488</v>
      </c>
      <c r="F11" s="1" t="n">
        <v>4</v>
      </c>
    </row>
    <row r="12" customFormat="false" ht="15" hidden="false" customHeight="false" outlineLevel="0" collapsed="false">
      <c r="A12" s="1" t="n">
        <v>6</v>
      </c>
      <c r="B12" s="3" t="s">
        <v>35</v>
      </c>
      <c r="F12" s="1" t="n">
        <v>1</v>
      </c>
      <c r="I12" s="1" t="n">
        <v>1</v>
      </c>
    </row>
    <row r="13" customFormat="false" ht="15" hidden="false" customHeight="false" outlineLevel="0" collapsed="false">
      <c r="A13" s="1" t="n">
        <v>7</v>
      </c>
      <c r="B13" s="3" t="s">
        <v>38</v>
      </c>
      <c r="C13" s="1" t="s">
        <v>38</v>
      </c>
      <c r="D13" s="1" t="s">
        <v>489</v>
      </c>
      <c r="E13" s="1" t="s">
        <v>431</v>
      </c>
      <c r="F13" s="1" t="n">
        <v>8</v>
      </c>
      <c r="I13" s="1" t="n">
        <v>8</v>
      </c>
    </row>
    <row r="14" customFormat="false" ht="15" hidden="false" customHeight="false" outlineLevel="0" collapsed="false">
      <c r="A14" s="1" t="n">
        <v>8</v>
      </c>
      <c r="B14" s="3" t="s">
        <v>41</v>
      </c>
      <c r="F14" s="1" t="n">
        <v>1</v>
      </c>
      <c r="I14" s="1" t="n">
        <v>1</v>
      </c>
    </row>
    <row r="15" customFormat="false" ht="15" hidden="false" customHeight="false" outlineLevel="0" collapsed="false">
      <c r="A15" s="1" t="n">
        <v>9</v>
      </c>
      <c r="B15" s="3" t="s">
        <v>44</v>
      </c>
      <c r="C15" s="1" t="s">
        <v>44</v>
      </c>
      <c r="D15" s="1" t="s">
        <v>490</v>
      </c>
      <c r="E15" s="1" t="s">
        <v>491</v>
      </c>
      <c r="F15" s="1" t="n">
        <v>10</v>
      </c>
      <c r="I15" s="1" t="n">
        <v>10</v>
      </c>
    </row>
    <row r="16" customFormat="false" ht="15" hidden="false" customHeight="false" outlineLevel="0" collapsed="false">
      <c r="A16" s="1" t="n">
        <v>10</v>
      </c>
      <c r="B16" s="3" t="s">
        <v>47</v>
      </c>
      <c r="F16" s="1" t="n">
        <v>1</v>
      </c>
      <c r="I16" s="1" t="n">
        <v>1</v>
      </c>
    </row>
    <row r="17" customFormat="false" ht="15" hidden="false" customHeight="false" outlineLevel="0" collapsed="false">
      <c r="A17" s="1" t="n">
        <v>11</v>
      </c>
      <c r="B17" s="3" t="s">
        <v>50</v>
      </c>
      <c r="C17" s="1" t="s">
        <v>50</v>
      </c>
      <c r="D17" s="1" t="s">
        <v>492</v>
      </c>
      <c r="E17" s="1" t="s">
        <v>493</v>
      </c>
      <c r="F17" s="1" t="n">
        <v>10</v>
      </c>
      <c r="I17" s="1" t="n">
        <v>10</v>
      </c>
    </row>
    <row r="18" customFormat="false" ht="15" hidden="false" customHeight="false" outlineLevel="0" collapsed="false">
      <c r="A18" s="1" t="n">
        <v>12</v>
      </c>
      <c r="B18" s="3" t="s">
        <v>53</v>
      </c>
      <c r="C18" s="1" t="s">
        <v>53</v>
      </c>
      <c r="D18" s="1" t="s">
        <v>494</v>
      </c>
      <c r="E18" s="1" t="s">
        <v>495</v>
      </c>
      <c r="F18" s="1" t="n">
        <v>9</v>
      </c>
      <c r="G18" s="1" t="n">
        <f aca="false">AVERAGE(F18:F19)</f>
        <v>8.5</v>
      </c>
      <c r="H18" s="1" t="n">
        <v>8</v>
      </c>
      <c r="I18" s="1" t="n">
        <f aca="false">ROUND(MAX(H18,G18),0)</f>
        <v>9</v>
      </c>
    </row>
    <row r="19" customFormat="false" ht="15" hidden="false" customHeight="false" outlineLevel="0" collapsed="false">
      <c r="C19" s="1" t="s">
        <v>53</v>
      </c>
      <c r="D19" s="1" t="s">
        <v>496</v>
      </c>
      <c r="E19" s="1" t="s">
        <v>497</v>
      </c>
      <c r="F19" s="1" t="n">
        <v>8</v>
      </c>
    </row>
    <row r="20" customFormat="false" ht="15" hidden="false" customHeight="false" outlineLevel="0" collapsed="false">
      <c r="C20" s="1" t="s">
        <v>53</v>
      </c>
      <c r="D20" s="1" t="s">
        <v>498</v>
      </c>
      <c r="E20" s="1" t="s">
        <v>305</v>
      </c>
      <c r="F20" s="1" t="n">
        <v>3</v>
      </c>
    </row>
    <row r="21" customFormat="false" ht="15" hidden="false" customHeight="false" outlineLevel="0" collapsed="false">
      <c r="A21" s="1" t="n">
        <v>13</v>
      </c>
      <c r="B21" s="3" t="s">
        <v>56</v>
      </c>
      <c r="C21" s="1" t="s">
        <v>56</v>
      </c>
      <c r="D21" s="1" t="s">
        <v>499</v>
      </c>
      <c r="E21" s="1" t="s">
        <v>500</v>
      </c>
      <c r="F21" s="1" t="n">
        <v>10</v>
      </c>
      <c r="G21" s="1" t="n">
        <f aca="false">AVERAGE(F21:F22)</f>
        <v>9</v>
      </c>
      <c r="H21" s="1" t="n">
        <v>8</v>
      </c>
      <c r="I21" s="1" t="n">
        <f aca="false">ROUND(MAX(H21,G21),0)</f>
        <v>9</v>
      </c>
    </row>
    <row r="22" customFormat="false" ht="15" hidden="false" customHeight="false" outlineLevel="0" collapsed="false">
      <c r="C22" s="1" t="s">
        <v>56</v>
      </c>
      <c r="D22" s="1" t="s">
        <v>501</v>
      </c>
      <c r="E22" s="1" t="s">
        <v>502</v>
      </c>
      <c r="F22" s="1" t="n">
        <v>8</v>
      </c>
    </row>
    <row r="23" customFormat="false" ht="15" hidden="false" customHeight="false" outlineLevel="0" collapsed="false">
      <c r="C23" s="1" t="s">
        <v>56</v>
      </c>
      <c r="D23" s="1" t="s">
        <v>503</v>
      </c>
      <c r="E23" s="1" t="s">
        <v>504</v>
      </c>
      <c r="F23" s="1" t="n">
        <v>8</v>
      </c>
    </row>
    <row r="24" customFormat="false" ht="15" hidden="false" customHeight="false" outlineLevel="0" collapsed="false">
      <c r="A24" s="1" t="n">
        <v>14</v>
      </c>
      <c r="B24" s="3" t="s">
        <v>60</v>
      </c>
      <c r="C24" s="1" t="s">
        <v>60</v>
      </c>
      <c r="D24" s="1" t="s">
        <v>505</v>
      </c>
      <c r="E24" s="1" t="s">
        <v>506</v>
      </c>
      <c r="F24" s="1" t="n">
        <v>9</v>
      </c>
      <c r="I24" s="1" t="n">
        <v>9</v>
      </c>
    </row>
    <row r="25" customFormat="false" ht="15" hidden="false" customHeight="false" outlineLevel="0" collapsed="false">
      <c r="A25" s="1" t="n">
        <v>15</v>
      </c>
      <c r="B25" s="3" t="s">
        <v>63</v>
      </c>
      <c r="F25" s="1" t="n">
        <v>1</v>
      </c>
      <c r="I25" s="1" t="n">
        <v>1</v>
      </c>
    </row>
    <row r="26" customFormat="false" ht="15" hidden="false" customHeight="false" outlineLevel="0" collapsed="false">
      <c r="A26" s="1" t="n">
        <v>16</v>
      </c>
      <c r="B26" s="3" t="s">
        <v>66</v>
      </c>
      <c r="C26" s="1" t="s">
        <v>66</v>
      </c>
      <c r="D26" s="1" t="s">
        <v>490</v>
      </c>
      <c r="E26" s="1" t="s">
        <v>507</v>
      </c>
      <c r="F26" s="1" t="n">
        <v>9</v>
      </c>
      <c r="I26" s="1" t="n">
        <v>9</v>
      </c>
    </row>
    <row r="27" customFormat="false" ht="15" hidden="false" customHeight="false" outlineLevel="0" collapsed="false">
      <c r="A27" s="1" t="n">
        <v>17</v>
      </c>
      <c r="B27" s="3" t="s">
        <v>69</v>
      </c>
      <c r="C27" s="1" t="s">
        <v>69</v>
      </c>
      <c r="D27" s="1" t="s">
        <v>508</v>
      </c>
      <c r="E27" s="1" t="s">
        <v>431</v>
      </c>
      <c r="F27" s="1" t="n">
        <v>10</v>
      </c>
      <c r="G27" s="1" t="n">
        <f aca="false">AVERAGE(F27:F28)</f>
        <v>8</v>
      </c>
      <c r="H27" s="1" t="n">
        <v>8</v>
      </c>
      <c r="I27" s="1" t="n">
        <f aca="false">ROUND(MAX(H27,G27),0)</f>
        <v>8</v>
      </c>
    </row>
    <row r="28" customFormat="false" ht="15" hidden="false" customHeight="false" outlineLevel="0" collapsed="false">
      <c r="C28" s="1" t="s">
        <v>69</v>
      </c>
      <c r="D28" s="1" t="s">
        <v>509</v>
      </c>
      <c r="E28" s="1" t="s">
        <v>458</v>
      </c>
      <c r="F28" s="1" t="n">
        <v>6</v>
      </c>
    </row>
    <row r="29" customFormat="false" ht="15" hidden="false" customHeight="false" outlineLevel="0" collapsed="false">
      <c r="A29" s="1" t="n">
        <v>18</v>
      </c>
      <c r="B29" s="3" t="s">
        <v>72</v>
      </c>
      <c r="C29" s="1" t="s">
        <v>72</v>
      </c>
      <c r="D29" s="1" t="s">
        <v>510</v>
      </c>
      <c r="E29" s="1" t="s">
        <v>392</v>
      </c>
      <c r="F29" s="1" t="n">
        <v>8</v>
      </c>
      <c r="I29" s="1" t="n">
        <v>8</v>
      </c>
    </row>
    <row r="30" customFormat="false" ht="15" hidden="false" customHeight="false" outlineLevel="0" collapsed="false">
      <c r="A30" s="1" t="n">
        <v>19</v>
      </c>
      <c r="B30" s="3" t="s">
        <v>75</v>
      </c>
      <c r="C30" s="1" t="s">
        <v>75</v>
      </c>
      <c r="D30" s="1" t="s">
        <v>511</v>
      </c>
      <c r="E30" s="1" t="s">
        <v>257</v>
      </c>
      <c r="F30" s="1" t="n">
        <v>9</v>
      </c>
      <c r="I30" s="1" t="n">
        <v>9</v>
      </c>
    </row>
    <row r="31" customFormat="false" ht="15" hidden="false" customHeight="false" outlineLevel="0" collapsed="false">
      <c r="A31" s="1" t="n">
        <v>20</v>
      </c>
      <c r="B31" s="3" t="s">
        <v>78</v>
      </c>
      <c r="F31" s="1" t="n">
        <v>1</v>
      </c>
      <c r="I31" s="1" t="n">
        <v>1</v>
      </c>
    </row>
    <row r="32" customFormat="false" ht="15" hidden="false" customHeight="false" outlineLevel="0" collapsed="false">
      <c r="A32" s="1" t="n">
        <v>21</v>
      </c>
      <c r="B32" s="3" t="s">
        <v>81</v>
      </c>
      <c r="C32" s="1" t="s">
        <v>81</v>
      </c>
      <c r="D32" s="1" t="s">
        <v>512</v>
      </c>
      <c r="E32" s="1" t="s">
        <v>513</v>
      </c>
      <c r="F32" s="1" t="n">
        <v>8</v>
      </c>
      <c r="I32" s="1" t="n">
        <v>8</v>
      </c>
    </row>
    <row r="33" customFormat="false" ht="15" hidden="false" customHeight="false" outlineLevel="0" collapsed="false">
      <c r="A33" s="1" t="n">
        <v>22</v>
      </c>
      <c r="B33" s="3" t="s">
        <v>85</v>
      </c>
      <c r="C33" s="1" t="s">
        <v>85</v>
      </c>
      <c r="D33" s="1" t="s">
        <v>514</v>
      </c>
      <c r="E33" s="1" t="s">
        <v>515</v>
      </c>
      <c r="F33" s="1" t="n">
        <v>10</v>
      </c>
      <c r="I33" s="1" t="n">
        <v>10</v>
      </c>
    </row>
    <row r="34" customFormat="false" ht="15" hidden="false" customHeight="false" outlineLevel="0" collapsed="false">
      <c r="A34" s="1" t="n">
        <v>23</v>
      </c>
      <c r="B34" s="3" t="s">
        <v>88</v>
      </c>
      <c r="C34" s="1" t="s">
        <v>88</v>
      </c>
      <c r="D34" s="1" t="s">
        <v>516</v>
      </c>
      <c r="E34" s="1" t="s">
        <v>517</v>
      </c>
      <c r="F34" s="1" t="n">
        <v>9</v>
      </c>
      <c r="I34" s="1" t="n">
        <v>9</v>
      </c>
    </row>
    <row r="35" customFormat="false" ht="15" hidden="false" customHeight="false" outlineLevel="0" collapsed="false">
      <c r="A35" s="1" t="n">
        <v>24</v>
      </c>
      <c r="B35" s="3" t="s">
        <v>91</v>
      </c>
      <c r="C35" s="1" t="s">
        <v>91</v>
      </c>
      <c r="D35" s="1" t="s">
        <v>518</v>
      </c>
      <c r="E35" s="1" t="s">
        <v>519</v>
      </c>
      <c r="F35" s="1" t="n">
        <v>10</v>
      </c>
      <c r="I35" s="1" t="n">
        <v>10</v>
      </c>
    </row>
    <row r="36" customFormat="false" ht="15" hidden="false" customHeight="false" outlineLevel="0" collapsed="false">
      <c r="A36" s="1" t="n">
        <v>25</v>
      </c>
      <c r="B36" s="3" t="s">
        <v>94</v>
      </c>
      <c r="C36" s="1" t="s">
        <v>94</v>
      </c>
      <c r="D36" s="1" t="s">
        <v>520</v>
      </c>
      <c r="E36" s="1" t="s">
        <v>330</v>
      </c>
      <c r="F36" s="1" t="n">
        <v>8</v>
      </c>
      <c r="I36" s="1" t="n">
        <v>8</v>
      </c>
    </row>
    <row r="37" customFormat="false" ht="15" hidden="false" customHeight="false" outlineLevel="0" collapsed="false">
      <c r="A37" s="1" t="n">
        <v>26</v>
      </c>
      <c r="B37" s="3" t="s">
        <v>97</v>
      </c>
      <c r="F37" s="1" t="n">
        <v>1</v>
      </c>
      <c r="I37" s="1" t="n">
        <v>1</v>
      </c>
    </row>
    <row r="38" customFormat="false" ht="15" hidden="false" customHeight="false" outlineLevel="0" collapsed="false">
      <c r="H38" s="1" t="s">
        <v>521</v>
      </c>
      <c r="I38" s="1" t="n">
        <f aca="false">COUNTIF(I2:I37,"&gt;0")</f>
        <v>26</v>
      </c>
    </row>
    <row r="39" customFormat="false" ht="15" hidden="false" customHeight="false" outlineLevel="0" collapsed="false"/>
    <row r="40" customFormat="false" ht="15" hidden="false" customHeight="false" outlineLevel="0" collapsed="false"/>
    <row r="41" customFormat="false" ht="15" hidden="false" customHeight="false" outlineLevel="0" collapsed="false"/>
    <row r="42" customFormat="false" ht="15" hidden="false" customHeight="false" outlineLevel="0" collapsed="false"/>
    <row r="43" customFormat="false" ht="15" hidden="false" customHeight="false" outlineLevel="0" collapsed="false"/>
    <row r="44" customFormat="false" ht="15" hidden="false" customHeight="false" outlineLevel="0" collapsed="false"/>
    <row r="45" customFormat="false" ht="15" hidden="false" customHeight="false" outlineLevel="0" collapsed="false"/>
    <row r="46" customFormat="false" ht="15" hidden="false" customHeight="false" outlineLevel="0" collapsed="false"/>
    <row r="47" customFormat="false" ht="15" hidden="false" customHeight="false" outlineLevel="0" collapsed="false"/>
    <row r="48" customFormat="false" ht="15" hidden="false" customHeight="false" outlineLevel="0" collapsed="false"/>
    <row r="49" customFormat="false" ht="15" hidden="false" customHeight="false" outlineLevel="0" collapsed="false"/>
    <row r="50" customFormat="false" ht="15" hidden="false" customHeight="false" outlineLevel="0" collapsed="false"/>
    <row r="51" customFormat="false" ht="15" hidden="false" customHeight="false" outlineLevel="0" collapsed="false"/>
    <row r="52" customFormat="false" ht="15" hidden="false" customHeight="false" outlineLevel="0" collapsed="false"/>
    <row r="53" customFormat="false" ht="15" hidden="false" customHeight="false" outlineLevel="0" collapsed="false"/>
    <row r="54" customFormat="false" ht="15" hidden="false" customHeight="false" outlineLevel="0" collapsed="false"/>
    <row r="55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&amp;C&amp;"Arial,Regular"&amp;10&amp;Kffffff&amp;A</oddHeader>
    <oddFooter>&amp;C&amp;"Arial,Regular"&amp;10&amp;KffffffPage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8"/>
  <sheetViews>
    <sheetView showFormulas="false" showGridLines="true" showRowColHeaders="true" showZeros="true" rightToLeft="false" tabSelected="false" showOutlineSymbols="true" defaultGridColor="true" view="normal" topLeftCell="A31" colorId="64" zoomScale="80" zoomScaleNormal="80" zoomScalePageLayoutView="100" workbookViewId="0">
      <selection pane="topLeft" activeCell="H50" activeCellId="0" sqref="H50"/>
    </sheetView>
  </sheetViews>
  <sheetFormatPr defaultColWidth="9.63671875" defaultRowHeight="12.8" zeroHeight="false" outlineLevelRow="0" outlineLevelCol="0"/>
  <cols>
    <col collapsed="false" customWidth="true" hidden="false" outlineLevel="0" max="1" min="1" style="1" width="3.29"/>
    <col collapsed="false" customWidth="true" hidden="false" outlineLevel="0" max="3" min="2" style="1" width="18.61"/>
    <col collapsed="false" customWidth="true" hidden="false" outlineLevel="0" max="4" min="4" style="1" width="22.63"/>
    <col collapsed="false" customWidth="true" hidden="false" outlineLevel="0" max="5" min="5" style="1" width="22.2"/>
    <col collapsed="false" customWidth="true" hidden="false" outlineLevel="0" max="6" min="6" style="1" width="16.12"/>
  </cols>
  <sheetData>
    <row r="1" customFormat="false" ht="15" hidden="false" customHeight="false" outlineLevel="0" collapsed="false">
      <c r="C1" s="1" t="s">
        <v>3</v>
      </c>
      <c r="D1" s="1" t="s">
        <v>232</v>
      </c>
      <c r="E1" s="1" t="s">
        <v>233</v>
      </c>
      <c r="F1" s="1" t="s">
        <v>234</v>
      </c>
      <c r="G1" s="1" t="s">
        <v>116</v>
      </c>
      <c r="H1" s="1" t="s">
        <v>235</v>
      </c>
      <c r="I1" s="1" t="s">
        <v>236</v>
      </c>
    </row>
    <row r="2" customFormat="false" ht="15" hidden="false" customHeight="false" outlineLevel="0" collapsed="false">
      <c r="A2" s="1" t="n">
        <v>1</v>
      </c>
      <c r="B2" s="3" t="s">
        <v>16</v>
      </c>
      <c r="C2" s="1" t="s">
        <v>16</v>
      </c>
      <c r="D2" s="1" t="s">
        <v>522</v>
      </c>
      <c r="E2" s="1" t="s">
        <v>523</v>
      </c>
      <c r="F2" s="1" t="n">
        <v>9</v>
      </c>
      <c r="I2" s="1" t="n">
        <v>9</v>
      </c>
    </row>
    <row r="3" customFormat="false" ht="15" hidden="false" customHeight="false" outlineLevel="0" collapsed="false">
      <c r="A3" s="1" t="n">
        <v>2</v>
      </c>
      <c r="B3" s="3" t="s">
        <v>23</v>
      </c>
      <c r="F3" s="1" t="n">
        <v>1</v>
      </c>
      <c r="I3" s="1" t="n">
        <v>1</v>
      </c>
    </row>
    <row r="4" customFormat="false" ht="15" hidden="false" customHeight="false" outlineLevel="0" collapsed="false">
      <c r="A4" s="1" t="n">
        <v>3</v>
      </c>
      <c r="B4" s="3" t="s">
        <v>26</v>
      </c>
      <c r="C4" s="1" t="s">
        <v>26</v>
      </c>
      <c r="D4" s="1" t="s">
        <v>524</v>
      </c>
      <c r="E4" s="1" t="s">
        <v>525</v>
      </c>
      <c r="F4" s="1" t="n">
        <v>10</v>
      </c>
      <c r="G4" s="1" t="n">
        <f aca="false">AVERAGE(F4:F5)</f>
        <v>8</v>
      </c>
      <c r="H4" s="1" t="n">
        <v>8</v>
      </c>
      <c r="I4" s="1" t="n">
        <f aca="false">ROUND(MAX(H4,G4),0)</f>
        <v>8</v>
      </c>
    </row>
    <row r="5" customFormat="false" ht="15" hidden="false" customHeight="false" outlineLevel="0" collapsed="false">
      <c r="C5" s="1" t="s">
        <v>26</v>
      </c>
      <c r="D5" s="1" t="s">
        <v>526</v>
      </c>
      <c r="E5" s="1" t="s">
        <v>527</v>
      </c>
      <c r="F5" s="1" t="n">
        <v>6</v>
      </c>
    </row>
    <row r="6" customFormat="false" ht="15" hidden="false" customHeight="false" outlineLevel="0" collapsed="false">
      <c r="A6" s="1" t="n">
        <v>4</v>
      </c>
      <c r="B6" s="3" t="s">
        <v>29</v>
      </c>
      <c r="F6" s="1" t="n">
        <v>1</v>
      </c>
      <c r="I6" s="1" t="n">
        <v>1</v>
      </c>
    </row>
    <row r="7" customFormat="false" ht="15" hidden="false" customHeight="false" outlineLevel="0" collapsed="false">
      <c r="A7" s="1" t="n">
        <v>5</v>
      </c>
      <c r="B7" s="3" t="s">
        <v>32</v>
      </c>
      <c r="C7" s="1" t="s">
        <v>32</v>
      </c>
      <c r="D7" s="1" t="s">
        <v>528</v>
      </c>
      <c r="E7" s="1" t="s">
        <v>352</v>
      </c>
      <c r="F7" s="1" t="n">
        <v>10</v>
      </c>
      <c r="G7" s="1" t="n">
        <f aca="false">AVERAGE(F7:F8)</f>
        <v>9.5</v>
      </c>
      <c r="H7" s="1" t="n">
        <v>8</v>
      </c>
      <c r="I7" s="1" t="n">
        <f aca="false">ROUND(MAX(H7,G7),0)</f>
        <v>10</v>
      </c>
    </row>
    <row r="8" customFormat="false" ht="15" hidden="false" customHeight="false" outlineLevel="0" collapsed="false">
      <c r="C8" s="1" t="s">
        <v>32</v>
      </c>
      <c r="D8" s="1" t="s">
        <v>529</v>
      </c>
      <c r="E8" s="1" t="s">
        <v>530</v>
      </c>
      <c r="F8" s="1" t="n">
        <v>9</v>
      </c>
    </row>
    <row r="9" customFormat="false" ht="15" hidden="false" customHeight="false" outlineLevel="0" collapsed="false">
      <c r="C9" s="1" t="s">
        <v>32</v>
      </c>
      <c r="D9" s="1" t="s">
        <v>531</v>
      </c>
      <c r="E9" s="1" t="s">
        <v>532</v>
      </c>
      <c r="F9" s="1" t="n">
        <v>9</v>
      </c>
    </row>
    <row r="10" customFormat="false" ht="15" hidden="false" customHeight="false" outlineLevel="0" collapsed="false">
      <c r="C10" s="1" t="s">
        <v>32</v>
      </c>
      <c r="D10" s="1" t="s">
        <v>533</v>
      </c>
      <c r="E10" s="1" t="s">
        <v>534</v>
      </c>
      <c r="F10" s="1" t="n">
        <v>7</v>
      </c>
    </row>
    <row r="11" customFormat="false" ht="15" hidden="false" customHeight="false" outlineLevel="0" collapsed="false">
      <c r="C11" s="1" t="s">
        <v>32</v>
      </c>
      <c r="D11" s="1" t="s">
        <v>494</v>
      </c>
      <c r="E11" s="1" t="s">
        <v>535</v>
      </c>
      <c r="F11" s="1" t="n">
        <v>5</v>
      </c>
    </row>
    <row r="12" customFormat="false" ht="15" hidden="false" customHeight="false" outlineLevel="0" collapsed="false">
      <c r="C12" s="1" t="s">
        <v>32</v>
      </c>
      <c r="D12" s="1" t="s">
        <v>536</v>
      </c>
      <c r="E12" s="1" t="s">
        <v>537</v>
      </c>
      <c r="F12" s="1" t="n">
        <v>4</v>
      </c>
    </row>
    <row r="13" customFormat="false" ht="15" hidden="false" customHeight="false" outlineLevel="0" collapsed="false">
      <c r="A13" s="1" t="n">
        <v>6</v>
      </c>
      <c r="B13" s="3" t="s">
        <v>35</v>
      </c>
      <c r="F13" s="1" t="n">
        <v>1</v>
      </c>
      <c r="I13" s="1" t="n">
        <v>1</v>
      </c>
    </row>
    <row r="14" customFormat="false" ht="15" hidden="false" customHeight="false" outlineLevel="0" collapsed="false">
      <c r="A14" s="1" t="n">
        <v>7</v>
      </c>
      <c r="B14" s="3" t="s">
        <v>38</v>
      </c>
      <c r="C14" s="1" t="s">
        <v>38</v>
      </c>
      <c r="D14" s="1" t="s">
        <v>538</v>
      </c>
      <c r="E14" s="1" t="s">
        <v>431</v>
      </c>
      <c r="F14" s="1" t="n">
        <v>10</v>
      </c>
      <c r="I14" s="1" t="n">
        <v>10</v>
      </c>
    </row>
    <row r="15" customFormat="false" ht="15" hidden="false" customHeight="false" outlineLevel="0" collapsed="false">
      <c r="A15" s="1" t="n">
        <v>8</v>
      </c>
      <c r="B15" s="3" t="s">
        <v>41</v>
      </c>
      <c r="F15" s="1" t="n">
        <v>1</v>
      </c>
      <c r="I15" s="1" t="n">
        <v>1</v>
      </c>
    </row>
    <row r="16" customFormat="false" ht="15" hidden="false" customHeight="false" outlineLevel="0" collapsed="false">
      <c r="A16" s="1" t="n">
        <v>9</v>
      </c>
      <c r="B16" s="3" t="s">
        <v>44</v>
      </c>
      <c r="C16" s="1" t="s">
        <v>44</v>
      </c>
      <c r="D16" s="1" t="s">
        <v>539</v>
      </c>
      <c r="E16" s="1" t="s">
        <v>540</v>
      </c>
      <c r="F16" s="1" t="n">
        <v>8</v>
      </c>
      <c r="I16" s="1" t="n">
        <v>8</v>
      </c>
    </row>
    <row r="17" customFormat="false" ht="15" hidden="false" customHeight="false" outlineLevel="0" collapsed="false">
      <c r="A17" s="1" t="n">
        <v>10</v>
      </c>
      <c r="B17" s="3" t="s">
        <v>47</v>
      </c>
      <c r="F17" s="1" t="n">
        <v>1</v>
      </c>
      <c r="I17" s="1" t="n">
        <v>1</v>
      </c>
    </row>
    <row r="18" customFormat="false" ht="15" hidden="false" customHeight="false" outlineLevel="0" collapsed="false">
      <c r="A18" s="1" t="n">
        <v>11</v>
      </c>
      <c r="B18" s="3" t="s">
        <v>50</v>
      </c>
      <c r="C18" s="1" t="s">
        <v>50</v>
      </c>
      <c r="D18" s="1" t="s">
        <v>541</v>
      </c>
      <c r="E18" s="1" t="s">
        <v>436</v>
      </c>
      <c r="F18" s="1" t="n">
        <v>9</v>
      </c>
      <c r="I18" s="1" t="n">
        <v>9</v>
      </c>
    </row>
    <row r="19" customFormat="false" ht="15" hidden="false" customHeight="false" outlineLevel="0" collapsed="false">
      <c r="A19" s="1" t="n">
        <v>12</v>
      </c>
      <c r="B19" s="3" t="s">
        <v>53</v>
      </c>
      <c r="C19" s="1" t="s">
        <v>53</v>
      </c>
      <c r="D19" s="1" t="s">
        <v>542</v>
      </c>
      <c r="E19" s="1" t="s">
        <v>543</v>
      </c>
      <c r="F19" s="1" t="n">
        <v>8</v>
      </c>
      <c r="I19" s="1" t="n">
        <v>8</v>
      </c>
    </row>
    <row r="20" customFormat="false" ht="15" hidden="false" customHeight="false" outlineLevel="0" collapsed="false">
      <c r="A20" s="1" t="n">
        <v>13</v>
      </c>
      <c r="B20" s="3" t="s">
        <v>56</v>
      </c>
      <c r="C20" s="1" t="s">
        <v>56</v>
      </c>
      <c r="D20" s="1" t="s">
        <v>544</v>
      </c>
      <c r="E20" s="1" t="s">
        <v>545</v>
      </c>
      <c r="F20" s="1" t="n">
        <v>8</v>
      </c>
      <c r="G20" s="1" t="n">
        <f aca="false">AVERAGE(F20:F21)</f>
        <v>7.5</v>
      </c>
      <c r="H20" s="1" t="n">
        <v>8</v>
      </c>
      <c r="I20" s="1" t="n">
        <f aca="false">ROUND(MAX(H20,G20),0)</f>
        <v>8</v>
      </c>
    </row>
    <row r="21" customFormat="false" ht="15" hidden="false" customHeight="false" outlineLevel="0" collapsed="false">
      <c r="C21" s="1" t="s">
        <v>56</v>
      </c>
      <c r="D21" s="1" t="s">
        <v>546</v>
      </c>
      <c r="E21" s="1" t="s">
        <v>547</v>
      </c>
      <c r="F21" s="1" t="n">
        <v>7</v>
      </c>
    </row>
    <row r="22" customFormat="false" ht="15" hidden="false" customHeight="false" outlineLevel="0" collapsed="false">
      <c r="A22" s="1" t="n">
        <v>14</v>
      </c>
      <c r="B22" s="3" t="s">
        <v>60</v>
      </c>
      <c r="C22" s="1" t="s">
        <v>60</v>
      </c>
      <c r="D22" s="1" t="s">
        <v>548</v>
      </c>
      <c r="E22" s="1" t="s">
        <v>549</v>
      </c>
      <c r="F22" s="1" t="n">
        <v>5</v>
      </c>
      <c r="I22" s="1" t="n">
        <v>5</v>
      </c>
    </row>
    <row r="23" customFormat="false" ht="15" hidden="false" customHeight="false" outlineLevel="0" collapsed="false">
      <c r="A23" s="1" t="n">
        <v>15</v>
      </c>
      <c r="B23" s="3" t="s">
        <v>63</v>
      </c>
      <c r="F23" s="1" t="n">
        <v>1</v>
      </c>
      <c r="I23" s="1" t="n">
        <v>1</v>
      </c>
    </row>
    <row r="24" customFormat="false" ht="15" hidden="false" customHeight="false" outlineLevel="0" collapsed="false">
      <c r="A24" s="1" t="n">
        <v>16</v>
      </c>
      <c r="B24" s="3" t="s">
        <v>66</v>
      </c>
      <c r="C24" s="1" t="s">
        <v>66</v>
      </c>
      <c r="D24" s="1" t="s">
        <v>550</v>
      </c>
      <c r="E24" s="1" t="s">
        <v>551</v>
      </c>
      <c r="F24" s="1" t="n">
        <v>9</v>
      </c>
      <c r="I24" s="1" t="n">
        <v>9</v>
      </c>
    </row>
    <row r="25" customFormat="false" ht="15" hidden="false" customHeight="false" outlineLevel="0" collapsed="false">
      <c r="A25" s="1" t="n">
        <v>17</v>
      </c>
      <c r="B25" s="3" t="s">
        <v>69</v>
      </c>
      <c r="C25" s="1" t="s">
        <v>69</v>
      </c>
      <c r="D25" s="1" t="s">
        <v>552</v>
      </c>
      <c r="E25" s="1" t="s">
        <v>553</v>
      </c>
      <c r="F25" s="1" t="n">
        <v>10</v>
      </c>
      <c r="I25" s="1" t="n">
        <v>10</v>
      </c>
    </row>
    <row r="26" customFormat="false" ht="15" hidden="false" customHeight="false" outlineLevel="0" collapsed="false">
      <c r="A26" s="1" t="n">
        <v>18</v>
      </c>
      <c r="B26" s="3" t="s">
        <v>72</v>
      </c>
      <c r="C26" s="1" t="s">
        <v>72</v>
      </c>
      <c r="D26" s="1" t="s">
        <v>554</v>
      </c>
      <c r="E26" s="1" t="s">
        <v>555</v>
      </c>
      <c r="F26" s="1" t="n">
        <v>10</v>
      </c>
      <c r="I26" s="1" t="n">
        <v>10</v>
      </c>
    </row>
    <row r="27" customFormat="false" ht="15" hidden="false" customHeight="false" outlineLevel="0" collapsed="false">
      <c r="A27" s="1" t="n">
        <v>19</v>
      </c>
      <c r="B27" s="3" t="s">
        <v>75</v>
      </c>
      <c r="C27" s="1" t="s">
        <v>75</v>
      </c>
      <c r="D27" s="1" t="s">
        <v>556</v>
      </c>
      <c r="E27" s="1" t="s">
        <v>557</v>
      </c>
      <c r="F27" s="1" t="n">
        <v>9</v>
      </c>
      <c r="I27" s="1" t="n">
        <v>9</v>
      </c>
    </row>
    <row r="28" customFormat="false" ht="15" hidden="false" customHeight="false" outlineLevel="0" collapsed="false">
      <c r="A28" s="1" t="n">
        <v>20</v>
      </c>
      <c r="B28" s="3" t="s">
        <v>78</v>
      </c>
      <c r="F28" s="1" t="n">
        <v>1</v>
      </c>
      <c r="I28" s="1" t="n">
        <v>1</v>
      </c>
    </row>
    <row r="29" customFormat="false" ht="15" hidden="false" customHeight="false" outlineLevel="0" collapsed="false">
      <c r="A29" s="1" t="n">
        <v>21</v>
      </c>
      <c r="B29" s="3" t="s">
        <v>81</v>
      </c>
      <c r="C29" s="1" t="s">
        <v>81</v>
      </c>
      <c r="D29" s="1" t="s">
        <v>558</v>
      </c>
      <c r="E29" s="1" t="s">
        <v>371</v>
      </c>
      <c r="F29" s="1" t="n">
        <v>8</v>
      </c>
      <c r="I29" s="1" t="n">
        <v>8</v>
      </c>
    </row>
    <row r="30" customFormat="false" ht="15" hidden="false" customHeight="false" outlineLevel="0" collapsed="false">
      <c r="A30" s="1" t="n">
        <v>22</v>
      </c>
      <c r="B30" s="3" t="s">
        <v>85</v>
      </c>
      <c r="C30" s="1" t="s">
        <v>85</v>
      </c>
      <c r="D30" s="1" t="s">
        <v>559</v>
      </c>
      <c r="E30" s="1" t="s">
        <v>488</v>
      </c>
      <c r="F30" s="1" t="n">
        <v>10</v>
      </c>
      <c r="I30" s="1" t="n">
        <v>10</v>
      </c>
    </row>
    <row r="31" customFormat="false" ht="15" hidden="false" customHeight="false" outlineLevel="0" collapsed="false">
      <c r="A31" s="1" t="n">
        <v>23</v>
      </c>
      <c r="B31" s="3" t="s">
        <v>88</v>
      </c>
      <c r="C31" s="1" t="s">
        <v>88</v>
      </c>
      <c r="D31" s="1" t="s">
        <v>560</v>
      </c>
      <c r="E31" s="1" t="s">
        <v>561</v>
      </c>
      <c r="F31" s="1" t="n">
        <v>10</v>
      </c>
      <c r="I31" s="1" t="n">
        <v>10</v>
      </c>
    </row>
    <row r="32" customFormat="false" ht="15" hidden="false" customHeight="false" outlineLevel="0" collapsed="false">
      <c r="A32" s="1" t="n">
        <v>24</v>
      </c>
      <c r="B32" s="3" t="s">
        <v>91</v>
      </c>
      <c r="C32" s="1" t="s">
        <v>91</v>
      </c>
      <c r="D32" s="1" t="s">
        <v>562</v>
      </c>
      <c r="E32" s="1" t="s">
        <v>431</v>
      </c>
      <c r="F32" s="1" t="n">
        <v>10</v>
      </c>
      <c r="G32" s="1" t="n">
        <f aca="false">AVERAGE(F32:F33)</f>
        <v>10</v>
      </c>
      <c r="H32" s="1" t="n">
        <v>8</v>
      </c>
      <c r="I32" s="1" t="n">
        <f aca="false">ROUND(MAX(H32,G32),0)</f>
        <v>10</v>
      </c>
    </row>
    <row r="33" customFormat="false" ht="15" hidden="false" customHeight="false" outlineLevel="0" collapsed="false">
      <c r="C33" s="1" t="s">
        <v>91</v>
      </c>
      <c r="D33" s="1" t="s">
        <v>563</v>
      </c>
      <c r="E33" s="1" t="s">
        <v>564</v>
      </c>
      <c r="F33" s="1" t="n">
        <v>10</v>
      </c>
    </row>
    <row r="34" customFormat="false" ht="15" hidden="false" customHeight="false" outlineLevel="0" collapsed="false">
      <c r="C34" s="1" t="s">
        <v>91</v>
      </c>
      <c r="D34" s="1" t="s">
        <v>565</v>
      </c>
      <c r="E34" s="1" t="s">
        <v>431</v>
      </c>
      <c r="F34" s="1" t="n">
        <v>10</v>
      </c>
    </row>
    <row r="35" customFormat="false" ht="15" hidden="false" customHeight="false" outlineLevel="0" collapsed="false">
      <c r="C35" s="1" t="s">
        <v>91</v>
      </c>
      <c r="D35" s="1" t="s">
        <v>566</v>
      </c>
      <c r="E35" s="1" t="s">
        <v>567</v>
      </c>
      <c r="F35" s="1" t="n">
        <v>10</v>
      </c>
    </row>
    <row r="36" customFormat="false" ht="15" hidden="false" customHeight="false" outlineLevel="0" collapsed="false">
      <c r="C36" s="1" t="s">
        <v>91</v>
      </c>
      <c r="D36" s="1" t="s">
        <v>568</v>
      </c>
      <c r="E36" s="1" t="s">
        <v>569</v>
      </c>
      <c r="F36" s="1" t="n">
        <v>10</v>
      </c>
    </row>
    <row r="37" customFormat="false" ht="15" hidden="false" customHeight="false" outlineLevel="0" collapsed="false">
      <c r="C37" s="1" t="s">
        <v>91</v>
      </c>
      <c r="D37" s="1" t="s">
        <v>570</v>
      </c>
      <c r="E37" s="1" t="s">
        <v>571</v>
      </c>
      <c r="F37" s="1" t="n">
        <v>10</v>
      </c>
    </row>
    <row r="38" customFormat="false" ht="15" hidden="false" customHeight="false" outlineLevel="0" collapsed="false">
      <c r="C38" s="1" t="s">
        <v>91</v>
      </c>
      <c r="D38" s="1" t="s">
        <v>572</v>
      </c>
      <c r="E38" s="1" t="s">
        <v>573</v>
      </c>
      <c r="F38" s="1" t="n">
        <v>10</v>
      </c>
    </row>
    <row r="39" customFormat="false" ht="15" hidden="false" customHeight="false" outlineLevel="0" collapsed="false">
      <c r="C39" s="1" t="s">
        <v>91</v>
      </c>
      <c r="D39" s="1" t="s">
        <v>574</v>
      </c>
      <c r="E39" s="1" t="s">
        <v>378</v>
      </c>
      <c r="F39" s="1" t="n">
        <v>10</v>
      </c>
    </row>
    <row r="40" customFormat="false" ht="15" hidden="false" customHeight="false" outlineLevel="0" collapsed="false">
      <c r="C40" s="1" t="s">
        <v>91</v>
      </c>
      <c r="D40" s="1" t="s">
        <v>575</v>
      </c>
      <c r="E40" s="1" t="s">
        <v>576</v>
      </c>
      <c r="F40" s="1" t="n">
        <v>10</v>
      </c>
    </row>
    <row r="41" customFormat="false" ht="15" hidden="false" customHeight="false" outlineLevel="0" collapsed="false">
      <c r="C41" s="1" t="s">
        <v>91</v>
      </c>
      <c r="D41" s="1" t="s">
        <v>577</v>
      </c>
      <c r="E41" s="1" t="s">
        <v>578</v>
      </c>
      <c r="F41" s="1" t="n">
        <v>10</v>
      </c>
    </row>
    <row r="42" customFormat="false" ht="15" hidden="false" customHeight="false" outlineLevel="0" collapsed="false">
      <c r="C42" s="1" t="s">
        <v>91</v>
      </c>
      <c r="D42" s="1" t="s">
        <v>579</v>
      </c>
      <c r="E42" s="1" t="s">
        <v>580</v>
      </c>
      <c r="F42" s="1" t="n">
        <v>10</v>
      </c>
    </row>
    <row r="43" customFormat="false" ht="15" hidden="false" customHeight="false" outlineLevel="0" collapsed="false">
      <c r="C43" s="1" t="s">
        <v>91</v>
      </c>
      <c r="D43" s="1" t="s">
        <v>581</v>
      </c>
      <c r="E43" s="1" t="s">
        <v>582</v>
      </c>
      <c r="F43" s="1" t="n">
        <v>10</v>
      </c>
    </row>
    <row r="44" customFormat="false" ht="15" hidden="false" customHeight="false" outlineLevel="0" collapsed="false">
      <c r="C44" s="1" t="s">
        <v>91</v>
      </c>
      <c r="D44" s="1" t="s">
        <v>583</v>
      </c>
      <c r="E44" s="1" t="s">
        <v>584</v>
      </c>
      <c r="F44" s="1" t="n">
        <v>9</v>
      </c>
    </row>
    <row r="45" customFormat="false" ht="15" hidden="false" customHeight="false" outlineLevel="0" collapsed="false">
      <c r="C45" s="1" t="s">
        <v>91</v>
      </c>
      <c r="D45" s="1" t="s">
        <v>585</v>
      </c>
      <c r="E45" s="1" t="s">
        <v>586</v>
      </c>
      <c r="F45" s="1" t="n">
        <v>7</v>
      </c>
    </row>
    <row r="46" customFormat="false" ht="15" hidden="false" customHeight="false" outlineLevel="0" collapsed="false">
      <c r="C46" s="1" t="s">
        <v>91</v>
      </c>
      <c r="D46" s="1" t="s">
        <v>587</v>
      </c>
      <c r="E46" s="1" t="s">
        <v>396</v>
      </c>
      <c r="F46" s="1" t="n">
        <v>7</v>
      </c>
    </row>
    <row r="47" customFormat="false" ht="15" hidden="false" customHeight="false" outlineLevel="0" collapsed="false">
      <c r="A47" s="1" t="n">
        <v>25</v>
      </c>
      <c r="B47" s="3" t="s">
        <v>94</v>
      </c>
      <c r="C47" s="1" t="s">
        <v>94</v>
      </c>
      <c r="D47" s="1" t="s">
        <v>588</v>
      </c>
      <c r="E47" s="1" t="s">
        <v>360</v>
      </c>
      <c r="F47" s="1" t="n">
        <v>10</v>
      </c>
      <c r="G47" s="1" t="n">
        <f aca="false">AVERAGE(F47:F48)</f>
        <v>6.5</v>
      </c>
      <c r="H47" s="1" t="n">
        <v>8</v>
      </c>
      <c r="I47" s="1" t="n">
        <f aca="false">ROUND(MAX(H47,G47),0)</f>
        <v>8</v>
      </c>
    </row>
    <row r="48" customFormat="false" ht="15" hidden="false" customHeight="false" outlineLevel="0" collapsed="false">
      <c r="C48" s="1" t="s">
        <v>94</v>
      </c>
      <c r="D48" s="1" t="s">
        <v>589</v>
      </c>
      <c r="E48" s="1" t="s">
        <v>590</v>
      </c>
      <c r="F48" s="1" t="n">
        <v>3</v>
      </c>
    </row>
    <row r="49" customFormat="false" ht="15" hidden="false" customHeight="false" outlineLevel="0" collapsed="false">
      <c r="A49" s="1" t="n">
        <v>26</v>
      </c>
      <c r="B49" s="3" t="s">
        <v>97</v>
      </c>
      <c r="F49" s="1" t="n">
        <v>1</v>
      </c>
      <c r="I49" s="1" t="n">
        <v>1</v>
      </c>
    </row>
    <row r="50" customFormat="false" ht="15" hidden="false" customHeight="false" outlineLevel="0" collapsed="false">
      <c r="H50" s="1" t="s">
        <v>521</v>
      </c>
      <c r="I50" s="1" t="n">
        <f aca="false">COUNTIF(I2:I49,"&gt;0")</f>
        <v>26</v>
      </c>
    </row>
    <row r="51" customFormat="false" ht="15" hidden="false" customHeight="false" outlineLevel="0" collapsed="false"/>
    <row r="52" customFormat="false" ht="15" hidden="false" customHeight="false" outlineLevel="0" collapsed="false"/>
    <row r="53" customFormat="false" ht="15" hidden="false" customHeight="false" outlineLevel="0" collapsed="false"/>
    <row r="54" customFormat="false" ht="15" hidden="false" customHeight="false" outlineLevel="0" collapsed="false"/>
    <row r="55" customFormat="false" ht="15" hidden="false" customHeight="false" outlineLevel="0" collapsed="false"/>
    <row r="56" customFormat="false" ht="15" hidden="false" customHeight="false" outlineLevel="0" collapsed="false"/>
    <row r="57" customFormat="false" ht="15" hidden="false" customHeight="false" outlineLevel="0" collapsed="false"/>
    <row r="58" customFormat="false" ht="15" hidden="false" customHeight="false" outlineLevel="0" collapsed="false"/>
    <row r="59" customFormat="false" ht="15" hidden="false" customHeight="false" outlineLevel="0" collapsed="false"/>
    <row r="60" customFormat="false" ht="15" hidden="false" customHeight="false" outlineLevel="0" collapsed="false"/>
    <row r="61" customFormat="false" ht="15" hidden="false" customHeight="false" outlineLevel="0" collapsed="false"/>
    <row r="62" customFormat="false" ht="15" hidden="false" customHeight="false" outlineLevel="0" collapsed="false"/>
    <row r="63" customFormat="false" ht="15" hidden="false" customHeight="false" outlineLevel="0" collapsed="false"/>
    <row r="64" customFormat="false" ht="15" hidden="false" customHeight="false" outlineLevel="0" collapsed="false"/>
    <row r="65" customFormat="false" ht="15" hidden="false" customHeight="false" outlineLevel="0" collapsed="false"/>
    <row r="66" customFormat="false" ht="15" hidden="false" customHeight="false" outlineLevel="0" collapsed="false"/>
    <row r="67" customFormat="false" ht="15" hidden="false" customHeight="false" outlineLevel="0" collapsed="false"/>
    <row r="68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&amp;C&amp;"Arial,Regular"&amp;10&amp;Kffffff&amp;A</oddHeader>
    <oddFooter>&amp;C&amp;"Arial,Regular"&amp;10&amp;KffffffPage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I35" activeCellId="0" sqref="I35"/>
    </sheetView>
  </sheetViews>
  <sheetFormatPr defaultColWidth="9.63671875" defaultRowHeight="12.8" zeroHeight="false" outlineLevelRow="0" outlineLevelCol="0"/>
  <cols>
    <col collapsed="false" customWidth="true" hidden="false" outlineLevel="0" max="1" min="1" style="1" width="3.29"/>
    <col collapsed="false" customWidth="true" hidden="false" outlineLevel="0" max="3" min="2" style="1" width="18.61"/>
    <col collapsed="false" customWidth="true" hidden="false" outlineLevel="0" max="4" min="4" style="1" width="22.63"/>
    <col collapsed="false" customWidth="true" hidden="false" outlineLevel="0" max="5" min="5" style="1" width="22.2"/>
    <col collapsed="false" customWidth="true" hidden="false" outlineLevel="0" max="6" min="6" style="1" width="16.12"/>
  </cols>
  <sheetData>
    <row r="1" customFormat="false" ht="15" hidden="false" customHeight="false" outlineLevel="0" collapsed="false">
      <c r="C1" s="1" t="s">
        <v>3</v>
      </c>
      <c r="D1" s="1" t="s">
        <v>232</v>
      </c>
      <c r="E1" s="1" t="s">
        <v>233</v>
      </c>
      <c r="F1" s="1" t="s">
        <v>234</v>
      </c>
      <c r="G1" s="1" t="s">
        <v>116</v>
      </c>
      <c r="H1" s="1" t="s">
        <v>235</v>
      </c>
      <c r="I1" s="1" t="s">
        <v>236</v>
      </c>
    </row>
    <row r="2" customFormat="false" ht="15" hidden="false" customHeight="false" outlineLevel="0" collapsed="false">
      <c r="A2" s="1" t="n">
        <v>1</v>
      </c>
      <c r="B2" s="3" t="s">
        <v>16</v>
      </c>
      <c r="C2" s="1" t="s">
        <v>16</v>
      </c>
      <c r="D2" s="1" t="s">
        <v>591</v>
      </c>
      <c r="E2" s="1" t="s">
        <v>592</v>
      </c>
      <c r="F2" s="1" t="n">
        <v>7</v>
      </c>
      <c r="I2" s="1" t="n">
        <v>7</v>
      </c>
    </row>
    <row r="3" customFormat="false" ht="15" hidden="false" customHeight="false" outlineLevel="0" collapsed="false">
      <c r="A3" s="1" t="n">
        <v>2</v>
      </c>
      <c r="B3" s="3" t="s">
        <v>23</v>
      </c>
      <c r="F3" s="1" t="n">
        <v>1</v>
      </c>
      <c r="I3" s="1" t="n">
        <v>1</v>
      </c>
    </row>
    <row r="4" customFormat="false" ht="15" hidden="false" customHeight="false" outlineLevel="0" collapsed="false">
      <c r="A4" s="1" t="n">
        <v>3</v>
      </c>
      <c r="B4" s="3" t="s">
        <v>26</v>
      </c>
      <c r="C4" s="1" t="s">
        <v>26</v>
      </c>
      <c r="D4" s="1" t="s">
        <v>593</v>
      </c>
      <c r="E4" s="1" t="s">
        <v>594</v>
      </c>
      <c r="F4" s="1" t="n">
        <v>9</v>
      </c>
      <c r="I4" s="1" t="n">
        <v>9</v>
      </c>
    </row>
    <row r="5" customFormat="false" ht="15" hidden="false" customHeight="false" outlineLevel="0" collapsed="false">
      <c r="A5" s="1" t="n">
        <v>4</v>
      </c>
      <c r="B5" s="3" t="s">
        <v>29</v>
      </c>
      <c r="F5" s="1" t="n">
        <v>1</v>
      </c>
      <c r="I5" s="1" t="n">
        <v>1</v>
      </c>
    </row>
    <row r="6" customFormat="false" ht="15" hidden="false" customHeight="false" outlineLevel="0" collapsed="false">
      <c r="A6" s="1" t="n">
        <v>5</v>
      </c>
      <c r="B6" s="3" t="s">
        <v>32</v>
      </c>
      <c r="C6" s="1" t="s">
        <v>32</v>
      </c>
      <c r="D6" s="1" t="s">
        <v>520</v>
      </c>
      <c r="E6" s="1" t="s">
        <v>595</v>
      </c>
      <c r="F6" s="1" t="n">
        <v>10</v>
      </c>
      <c r="G6" s="1" t="n">
        <f aca="false">AVERAGE(F6:F8)</f>
        <v>7</v>
      </c>
      <c r="H6" s="1" t="n">
        <v>9</v>
      </c>
      <c r="I6" s="1" t="n">
        <f aca="false">ROUND(MAX(H6,G6),0)</f>
        <v>9</v>
      </c>
    </row>
    <row r="7" customFormat="false" ht="15" hidden="false" customHeight="false" outlineLevel="0" collapsed="false">
      <c r="C7" s="1" t="s">
        <v>32</v>
      </c>
      <c r="D7" s="1" t="s">
        <v>596</v>
      </c>
      <c r="E7" s="1" t="s">
        <v>597</v>
      </c>
      <c r="F7" s="1" t="n">
        <v>9</v>
      </c>
    </row>
    <row r="8" customFormat="false" ht="15" hidden="false" customHeight="false" outlineLevel="0" collapsed="false">
      <c r="C8" s="1" t="s">
        <v>32</v>
      </c>
      <c r="D8" s="1" t="s">
        <v>598</v>
      </c>
      <c r="E8" s="1" t="s">
        <v>599</v>
      </c>
      <c r="F8" s="1" t="n">
        <v>2</v>
      </c>
    </row>
    <row r="9" customFormat="false" ht="15" hidden="false" customHeight="false" outlineLevel="0" collapsed="false">
      <c r="A9" s="1" t="n">
        <v>6</v>
      </c>
      <c r="B9" s="3" t="s">
        <v>35</v>
      </c>
      <c r="F9" s="1" t="n">
        <v>1</v>
      </c>
      <c r="I9" s="1" t="n">
        <v>1</v>
      </c>
    </row>
    <row r="10" customFormat="false" ht="15" hidden="false" customHeight="false" outlineLevel="0" collapsed="false">
      <c r="A10" s="1" t="n">
        <v>7</v>
      </c>
      <c r="B10" s="3" t="s">
        <v>38</v>
      </c>
      <c r="C10" s="1" t="s">
        <v>38</v>
      </c>
      <c r="D10" s="1" t="s">
        <v>600</v>
      </c>
      <c r="E10" s="1" t="s">
        <v>601</v>
      </c>
      <c r="F10" s="1" t="n">
        <v>10</v>
      </c>
      <c r="I10" s="1" t="n">
        <v>10</v>
      </c>
    </row>
    <row r="11" customFormat="false" ht="15" hidden="false" customHeight="false" outlineLevel="0" collapsed="false">
      <c r="A11" s="1" t="n">
        <v>8</v>
      </c>
      <c r="B11" s="3" t="s">
        <v>41</v>
      </c>
      <c r="F11" s="1" t="n">
        <v>1</v>
      </c>
      <c r="I11" s="1" t="n">
        <v>1</v>
      </c>
    </row>
    <row r="12" customFormat="false" ht="15" hidden="false" customHeight="false" outlineLevel="0" collapsed="false">
      <c r="A12" s="1" t="n">
        <v>9</v>
      </c>
      <c r="B12" s="3" t="s">
        <v>44</v>
      </c>
      <c r="C12" s="1" t="s">
        <v>44</v>
      </c>
      <c r="D12" s="1" t="s">
        <v>602</v>
      </c>
      <c r="E12" s="1" t="s">
        <v>390</v>
      </c>
      <c r="F12" s="1" t="n">
        <v>10</v>
      </c>
      <c r="I12" s="1" t="n">
        <v>10</v>
      </c>
    </row>
    <row r="13" customFormat="false" ht="15" hidden="false" customHeight="false" outlineLevel="0" collapsed="false">
      <c r="A13" s="1" t="n">
        <v>10</v>
      </c>
      <c r="B13" s="3" t="s">
        <v>47</v>
      </c>
      <c r="F13" s="1" t="n">
        <v>1</v>
      </c>
      <c r="I13" s="1" t="n">
        <v>1</v>
      </c>
    </row>
    <row r="14" customFormat="false" ht="15" hidden="false" customHeight="false" outlineLevel="0" collapsed="false">
      <c r="A14" s="1" t="n">
        <v>11</v>
      </c>
      <c r="B14" s="3" t="s">
        <v>50</v>
      </c>
      <c r="C14" s="1" t="s">
        <v>50</v>
      </c>
      <c r="D14" s="1" t="s">
        <v>603</v>
      </c>
      <c r="E14" s="1" t="s">
        <v>604</v>
      </c>
      <c r="F14" s="1" t="n">
        <v>10</v>
      </c>
      <c r="I14" s="1" t="n">
        <v>10</v>
      </c>
    </row>
    <row r="15" customFormat="false" ht="15" hidden="false" customHeight="false" outlineLevel="0" collapsed="false">
      <c r="A15" s="1" t="n">
        <v>12</v>
      </c>
      <c r="B15" s="3" t="s">
        <v>53</v>
      </c>
      <c r="C15" s="1" t="s">
        <v>53</v>
      </c>
      <c r="D15" s="1" t="s">
        <v>605</v>
      </c>
      <c r="E15" s="1" t="s">
        <v>606</v>
      </c>
      <c r="F15" s="1" t="n">
        <v>10</v>
      </c>
      <c r="G15" s="1" t="n">
        <f aca="false">AVERAGE(F15:F16)</f>
        <v>7.5</v>
      </c>
      <c r="H15" s="1" t="n">
        <v>5</v>
      </c>
      <c r="I15" s="1" t="n">
        <f aca="false">ROUND(MAX(H15,G15),0)</f>
        <v>8</v>
      </c>
    </row>
    <row r="16" customFormat="false" ht="15" hidden="false" customHeight="false" outlineLevel="0" collapsed="false">
      <c r="C16" s="1" t="s">
        <v>53</v>
      </c>
      <c r="D16" s="1" t="s">
        <v>607</v>
      </c>
      <c r="E16" s="1" t="s">
        <v>608</v>
      </c>
      <c r="F16" s="1" t="n">
        <v>5</v>
      </c>
    </row>
    <row r="17" customFormat="false" ht="15" hidden="false" customHeight="false" outlineLevel="0" collapsed="false">
      <c r="A17" s="1" t="n">
        <v>13</v>
      </c>
      <c r="B17" s="3" t="s">
        <v>56</v>
      </c>
      <c r="C17" s="1" t="s">
        <v>56</v>
      </c>
      <c r="D17" s="1" t="s">
        <v>609</v>
      </c>
      <c r="E17" s="1" t="s">
        <v>610</v>
      </c>
      <c r="F17" s="1" t="n">
        <v>8</v>
      </c>
      <c r="G17" s="1" t="n">
        <f aca="false">AVERAGE(F17:F20)</f>
        <v>5.75</v>
      </c>
      <c r="H17" s="1" t="n">
        <v>7</v>
      </c>
      <c r="I17" s="1" t="n">
        <f aca="false">ROUND(MAX(H17,G17),0)</f>
        <v>7</v>
      </c>
    </row>
    <row r="18" customFormat="false" ht="15" hidden="false" customHeight="false" outlineLevel="0" collapsed="false">
      <c r="C18" s="1" t="s">
        <v>56</v>
      </c>
      <c r="D18" s="1" t="s">
        <v>611</v>
      </c>
      <c r="E18" s="1" t="s">
        <v>612</v>
      </c>
      <c r="F18" s="1" t="n">
        <v>7</v>
      </c>
    </row>
    <row r="19" customFormat="false" ht="15" hidden="false" customHeight="false" outlineLevel="0" collapsed="false">
      <c r="C19" s="1" t="s">
        <v>56</v>
      </c>
      <c r="D19" s="1" t="s">
        <v>492</v>
      </c>
      <c r="E19" s="1" t="s">
        <v>613</v>
      </c>
      <c r="F19" s="1" t="n">
        <v>4</v>
      </c>
    </row>
    <row r="20" customFormat="false" ht="15" hidden="false" customHeight="false" outlineLevel="0" collapsed="false">
      <c r="C20" s="1" t="s">
        <v>56</v>
      </c>
      <c r="D20" s="1" t="s">
        <v>614</v>
      </c>
      <c r="E20" s="1" t="s">
        <v>615</v>
      </c>
      <c r="F20" s="1" t="n">
        <v>4</v>
      </c>
    </row>
    <row r="21" customFormat="false" ht="15" hidden="false" customHeight="false" outlineLevel="0" collapsed="false">
      <c r="A21" s="1" t="n">
        <v>14</v>
      </c>
      <c r="B21" s="3" t="s">
        <v>60</v>
      </c>
      <c r="C21" s="1" t="s">
        <v>60</v>
      </c>
      <c r="D21" s="1" t="s">
        <v>616</v>
      </c>
      <c r="E21" s="1" t="s">
        <v>617</v>
      </c>
      <c r="F21" s="1" t="n">
        <v>7</v>
      </c>
      <c r="I21" s="1" t="n">
        <v>7</v>
      </c>
    </row>
    <row r="22" customFormat="false" ht="15" hidden="false" customHeight="false" outlineLevel="0" collapsed="false">
      <c r="A22" s="1" t="n">
        <v>15</v>
      </c>
      <c r="B22" s="3" t="s">
        <v>63</v>
      </c>
      <c r="F22" s="1" t="n">
        <v>1</v>
      </c>
      <c r="I22" s="1" t="n">
        <v>1</v>
      </c>
    </row>
    <row r="23" customFormat="false" ht="15" hidden="false" customHeight="false" outlineLevel="0" collapsed="false">
      <c r="A23" s="1" t="n">
        <v>16</v>
      </c>
      <c r="B23" s="3" t="s">
        <v>66</v>
      </c>
      <c r="C23" s="1" t="s">
        <v>66</v>
      </c>
      <c r="D23" s="1" t="s">
        <v>618</v>
      </c>
      <c r="E23" s="1" t="s">
        <v>619</v>
      </c>
      <c r="F23" s="1" t="n">
        <v>10</v>
      </c>
      <c r="I23" s="1" t="n">
        <v>10</v>
      </c>
    </row>
    <row r="24" customFormat="false" ht="15" hidden="false" customHeight="false" outlineLevel="0" collapsed="false">
      <c r="A24" s="1" t="n">
        <v>17</v>
      </c>
      <c r="B24" s="3" t="s">
        <v>69</v>
      </c>
      <c r="C24" s="1" t="s">
        <v>69</v>
      </c>
      <c r="D24" s="1" t="s">
        <v>620</v>
      </c>
      <c r="E24" s="1" t="s">
        <v>621</v>
      </c>
      <c r="F24" s="1" t="n">
        <v>8</v>
      </c>
      <c r="I24" s="1" t="n">
        <v>8</v>
      </c>
    </row>
    <row r="25" customFormat="false" ht="15" hidden="false" customHeight="false" outlineLevel="0" collapsed="false">
      <c r="A25" s="1" t="n">
        <v>18</v>
      </c>
      <c r="B25" s="3" t="s">
        <v>72</v>
      </c>
      <c r="C25" s="1" t="s">
        <v>72</v>
      </c>
      <c r="D25" s="1" t="s">
        <v>622</v>
      </c>
      <c r="E25" s="1" t="s">
        <v>623</v>
      </c>
      <c r="F25" s="1" t="n">
        <v>10</v>
      </c>
      <c r="I25" s="1" t="n">
        <v>10</v>
      </c>
    </row>
    <row r="26" customFormat="false" ht="15" hidden="false" customHeight="false" outlineLevel="0" collapsed="false">
      <c r="A26" s="1" t="n">
        <v>19</v>
      </c>
      <c r="B26" s="3" t="s">
        <v>75</v>
      </c>
      <c r="C26" s="1" t="s">
        <v>75</v>
      </c>
      <c r="D26" s="1" t="s">
        <v>624</v>
      </c>
      <c r="E26" s="1" t="s">
        <v>625</v>
      </c>
      <c r="F26" s="1" t="n">
        <v>10</v>
      </c>
      <c r="I26" s="1" t="n">
        <v>10</v>
      </c>
    </row>
    <row r="27" customFormat="false" ht="15" hidden="false" customHeight="false" outlineLevel="0" collapsed="false">
      <c r="A27" s="1" t="n">
        <v>20</v>
      </c>
      <c r="B27" s="3" t="s">
        <v>78</v>
      </c>
      <c r="F27" s="1" t="n">
        <v>1</v>
      </c>
      <c r="I27" s="1" t="n">
        <v>1</v>
      </c>
    </row>
    <row r="28" customFormat="false" ht="15" hidden="false" customHeight="false" outlineLevel="0" collapsed="false">
      <c r="A28" s="1" t="n">
        <v>21</v>
      </c>
      <c r="B28" s="3" t="s">
        <v>81</v>
      </c>
      <c r="C28" s="1" t="s">
        <v>81</v>
      </c>
      <c r="D28" s="1" t="s">
        <v>626</v>
      </c>
      <c r="E28" s="1" t="s">
        <v>627</v>
      </c>
      <c r="F28" s="1" t="n">
        <v>8</v>
      </c>
      <c r="I28" s="1" t="n">
        <v>8</v>
      </c>
    </row>
    <row r="29" customFormat="false" ht="15" hidden="false" customHeight="false" outlineLevel="0" collapsed="false">
      <c r="A29" s="1" t="n">
        <v>22</v>
      </c>
      <c r="B29" s="3" t="s">
        <v>85</v>
      </c>
      <c r="C29" s="1" t="s">
        <v>85</v>
      </c>
      <c r="D29" s="1" t="s">
        <v>628</v>
      </c>
      <c r="E29" s="1" t="s">
        <v>629</v>
      </c>
      <c r="F29" s="1" t="n">
        <v>10</v>
      </c>
      <c r="I29" s="1" t="n">
        <v>10</v>
      </c>
    </row>
    <row r="30" customFormat="false" ht="15" hidden="false" customHeight="false" outlineLevel="0" collapsed="false">
      <c r="A30" s="1" t="n">
        <v>23</v>
      </c>
      <c r="B30" s="3" t="s">
        <v>88</v>
      </c>
      <c r="C30" s="1" t="s">
        <v>88</v>
      </c>
      <c r="D30" s="1" t="s">
        <v>630</v>
      </c>
      <c r="E30" s="1" t="s">
        <v>631</v>
      </c>
      <c r="F30" s="1" t="n">
        <v>10</v>
      </c>
      <c r="I30" s="1" t="n">
        <v>10</v>
      </c>
    </row>
    <row r="31" customFormat="false" ht="15" hidden="false" customHeight="false" outlineLevel="0" collapsed="false">
      <c r="A31" s="1" t="n">
        <v>24</v>
      </c>
      <c r="B31" s="3" t="s">
        <v>91</v>
      </c>
      <c r="C31" s="1" t="s">
        <v>91</v>
      </c>
      <c r="D31" s="1" t="s">
        <v>632</v>
      </c>
      <c r="E31" s="1" t="s">
        <v>633</v>
      </c>
      <c r="F31" s="1" t="n">
        <v>10</v>
      </c>
      <c r="G31" s="1" t="n">
        <f aca="false">AVERAGE(F31:F32)</f>
        <v>9.5</v>
      </c>
      <c r="H31" s="1" t="n">
        <v>9</v>
      </c>
      <c r="I31" s="1" t="n">
        <f aca="false">ROUND(MAX(H31,G31),0)</f>
        <v>10</v>
      </c>
    </row>
    <row r="32" customFormat="false" ht="15" hidden="false" customHeight="false" outlineLevel="0" collapsed="false">
      <c r="C32" s="1" t="s">
        <v>91</v>
      </c>
      <c r="D32" s="1" t="s">
        <v>634</v>
      </c>
      <c r="E32" s="1" t="s">
        <v>635</v>
      </c>
      <c r="F32" s="1" t="n">
        <v>9</v>
      </c>
    </row>
    <row r="33" customFormat="false" ht="15" hidden="false" customHeight="false" outlineLevel="0" collapsed="false">
      <c r="A33" s="1" t="n">
        <v>25</v>
      </c>
      <c r="B33" s="3" t="s">
        <v>94</v>
      </c>
      <c r="C33" s="1" t="s">
        <v>94</v>
      </c>
      <c r="D33" s="1" t="s">
        <v>636</v>
      </c>
      <c r="E33" s="1" t="s">
        <v>637</v>
      </c>
      <c r="F33" s="1" t="n">
        <v>10</v>
      </c>
      <c r="G33" s="1" t="n">
        <f aca="false">AVERAGE(F33:F34)</f>
        <v>6.5</v>
      </c>
      <c r="H33" s="1" t="n">
        <v>3</v>
      </c>
      <c r="I33" s="1" t="n">
        <f aca="false">ROUND(MAX(H33,G33),0)</f>
        <v>7</v>
      </c>
    </row>
    <row r="34" customFormat="false" ht="15" hidden="false" customHeight="false" outlineLevel="0" collapsed="false">
      <c r="C34" s="1" t="s">
        <v>94</v>
      </c>
      <c r="D34" s="1" t="s">
        <v>638</v>
      </c>
      <c r="E34" s="1" t="s">
        <v>639</v>
      </c>
      <c r="F34" s="1" t="n">
        <v>3</v>
      </c>
    </row>
    <row r="35" customFormat="false" ht="15" hidden="false" customHeight="false" outlineLevel="0" collapsed="false">
      <c r="A35" s="1" t="n">
        <v>26</v>
      </c>
      <c r="B35" s="3" t="s">
        <v>97</v>
      </c>
      <c r="F35" s="1" t="n">
        <v>1</v>
      </c>
      <c r="I35" s="1" t="n">
        <v>1</v>
      </c>
    </row>
    <row r="36" customFormat="false" ht="15" hidden="false" customHeight="false" outlineLevel="0" collapsed="false">
      <c r="H36" s="1" t="s">
        <v>521</v>
      </c>
      <c r="I36" s="1" t="n">
        <f aca="false">COUNTIF(I2:I35,"&gt;0")</f>
        <v>26</v>
      </c>
    </row>
    <row r="37" customFormat="false" ht="15" hidden="false" customHeight="false" outlineLevel="0" collapsed="false"/>
    <row r="38" customFormat="false" ht="15" hidden="false" customHeight="false" outlineLevel="0" collapsed="false"/>
    <row r="39" customFormat="false" ht="15" hidden="false" customHeight="false" outlineLevel="0" collapsed="false"/>
    <row r="40" customFormat="false" ht="15" hidden="false" customHeight="false" outlineLevel="0" collapsed="false"/>
    <row r="41" customFormat="false" ht="15" hidden="false" customHeight="false" outlineLevel="0" collapsed="false"/>
    <row r="42" customFormat="false" ht="15" hidden="false" customHeight="false" outlineLevel="0" collapsed="false"/>
    <row r="43" customFormat="false" ht="15" hidden="false" customHeight="false" outlineLevel="0" collapsed="false"/>
    <row r="44" customFormat="false" ht="15" hidden="false" customHeight="false" outlineLevel="0" collapsed="false"/>
    <row r="45" customFormat="false" ht="15" hidden="false" customHeight="false" outlineLevel="0" collapsed="false"/>
    <row r="46" customFormat="false" ht="15" hidden="false" customHeight="false" outlineLevel="0" collapsed="false"/>
    <row r="47" customFormat="false" ht="15" hidden="false" customHeight="false" outlineLevel="0" collapsed="false"/>
    <row r="48" customFormat="false" ht="15" hidden="false" customHeight="false" outlineLevel="0" collapsed="false"/>
    <row r="49" customFormat="false" ht="15" hidden="false" customHeight="false" outlineLevel="0" collapsed="false"/>
    <row r="50" customFormat="false" ht="15" hidden="false" customHeight="false" outlineLevel="0" collapsed="false"/>
    <row r="51" customFormat="false" ht="15" hidden="false" customHeight="false" outlineLevel="0" collapsed="false"/>
    <row r="52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&amp;C&amp;"Arial,Regular"&amp;10&amp;Kffffff&amp;A</oddHeader>
    <oddFooter>&amp;C&amp;"Arial,Regular"&amp;10&amp;KffffffPage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20" activeCellId="0" sqref="A20"/>
    </sheetView>
  </sheetViews>
  <sheetFormatPr defaultColWidth="9.5390625" defaultRowHeight="12.8" zeroHeight="false" outlineLevelRow="0" outlineLevelCol="0"/>
  <cols>
    <col collapsed="false" customWidth="true" hidden="false" outlineLevel="0" max="3" min="2" style="1" width="18.61"/>
    <col collapsed="false" customWidth="true" hidden="false" outlineLevel="0" max="4" min="4" style="1" width="14.88"/>
    <col collapsed="false" customWidth="true" hidden="false" outlineLevel="0" max="5" min="5" style="1" width="5.85"/>
    <col collapsed="false" customWidth="true" hidden="false" outlineLevel="0" max="6" min="6" style="1" width="16.12"/>
  </cols>
  <sheetData>
    <row r="1" customFormat="false" ht="15" hidden="false" customHeight="false" outlineLevel="0" collapsed="false">
      <c r="C1" s="1" t="s">
        <v>3</v>
      </c>
      <c r="D1" s="1" t="s">
        <v>2</v>
      </c>
      <c r="E1" s="1" t="s">
        <v>233</v>
      </c>
      <c r="F1" s="1" t="s">
        <v>234</v>
      </c>
      <c r="G1" s="1" t="s">
        <v>116</v>
      </c>
      <c r="H1" s="1" t="s">
        <v>235</v>
      </c>
      <c r="I1" s="1" t="s">
        <v>236</v>
      </c>
    </row>
    <row r="2" customFormat="false" ht="15" hidden="false" customHeight="false" outlineLevel="0" collapsed="false">
      <c r="A2" s="1" t="n">
        <v>1</v>
      </c>
      <c r="B2" s="3" t="s">
        <v>16</v>
      </c>
      <c r="C2" s="1" t="s">
        <v>16</v>
      </c>
      <c r="D2" s="1" t="s">
        <v>15</v>
      </c>
      <c r="E2" s="1" t="s">
        <v>640</v>
      </c>
      <c r="F2" s="1" t="n">
        <v>7</v>
      </c>
      <c r="I2" s="1" t="n">
        <v>7</v>
      </c>
    </row>
    <row r="3" customFormat="false" ht="15" hidden="false" customHeight="false" outlineLevel="0" collapsed="false">
      <c r="A3" s="1" t="n">
        <v>2</v>
      </c>
      <c r="B3" s="3" t="s">
        <v>23</v>
      </c>
      <c r="F3" s="1" t="n">
        <v>1</v>
      </c>
      <c r="I3" s="1" t="n">
        <v>1</v>
      </c>
    </row>
    <row r="4" customFormat="false" ht="15" hidden="false" customHeight="false" outlineLevel="0" collapsed="false">
      <c r="A4" s="1" t="n">
        <v>3</v>
      </c>
      <c r="B4" s="3" t="s">
        <v>26</v>
      </c>
      <c r="C4" s="1" t="s">
        <v>26</v>
      </c>
      <c r="D4" s="1" t="s">
        <v>25</v>
      </c>
      <c r="E4" s="1" t="s">
        <v>641</v>
      </c>
      <c r="F4" s="1" t="n">
        <v>9</v>
      </c>
      <c r="I4" s="1" t="n">
        <v>9</v>
      </c>
    </row>
    <row r="5" customFormat="false" ht="15" hidden="false" customHeight="false" outlineLevel="0" collapsed="false">
      <c r="A5" s="1" t="n">
        <v>4</v>
      </c>
      <c r="B5" s="3" t="s">
        <v>29</v>
      </c>
      <c r="F5" s="1" t="n">
        <v>1</v>
      </c>
      <c r="I5" s="1" t="n">
        <v>1</v>
      </c>
    </row>
    <row r="6" customFormat="false" ht="15" hidden="false" customHeight="false" outlineLevel="0" collapsed="false">
      <c r="A6" s="1" t="n">
        <v>5</v>
      </c>
      <c r="B6" s="3" t="s">
        <v>32</v>
      </c>
      <c r="C6" s="1" t="s">
        <v>32</v>
      </c>
      <c r="D6" s="1" t="s">
        <v>31</v>
      </c>
      <c r="E6" s="1" t="s">
        <v>257</v>
      </c>
      <c r="F6" s="1" t="n">
        <v>10</v>
      </c>
      <c r="I6" s="1" t="n">
        <v>10</v>
      </c>
    </row>
    <row r="7" customFormat="false" ht="15" hidden="false" customHeight="false" outlineLevel="0" collapsed="false">
      <c r="A7" s="1" t="n">
        <v>6</v>
      </c>
      <c r="B7" s="3" t="s">
        <v>35</v>
      </c>
      <c r="C7" s="1" t="s">
        <v>35</v>
      </c>
      <c r="D7" s="1" t="s">
        <v>34</v>
      </c>
      <c r="E7" s="1" t="s">
        <v>300</v>
      </c>
      <c r="F7" s="1" t="n">
        <v>9</v>
      </c>
      <c r="I7" s="1" t="n">
        <v>9</v>
      </c>
    </row>
    <row r="8" customFormat="false" ht="15" hidden="false" customHeight="false" outlineLevel="0" collapsed="false">
      <c r="A8" s="1" t="n">
        <v>7</v>
      </c>
      <c r="B8" s="3" t="s">
        <v>38</v>
      </c>
      <c r="C8" s="1" t="s">
        <v>38</v>
      </c>
      <c r="D8" s="1" t="s">
        <v>37</v>
      </c>
      <c r="E8" s="1" t="s">
        <v>642</v>
      </c>
      <c r="F8" s="1" t="n">
        <v>10</v>
      </c>
      <c r="I8" s="1" t="n">
        <v>10</v>
      </c>
    </row>
    <row r="9" customFormat="false" ht="15" hidden="false" customHeight="false" outlineLevel="0" collapsed="false">
      <c r="A9" s="1" t="n">
        <v>8</v>
      </c>
      <c r="B9" s="3" t="s">
        <v>41</v>
      </c>
      <c r="F9" s="1" t="n">
        <v>1</v>
      </c>
      <c r="I9" s="1" t="n">
        <v>1</v>
      </c>
    </row>
    <row r="10" customFormat="false" ht="15" hidden="false" customHeight="false" outlineLevel="0" collapsed="false">
      <c r="A10" s="1" t="n">
        <v>9</v>
      </c>
      <c r="B10" s="3" t="s">
        <v>44</v>
      </c>
      <c r="F10" s="1" t="n">
        <v>1</v>
      </c>
      <c r="I10" s="1" t="n">
        <v>1</v>
      </c>
    </row>
    <row r="11" customFormat="false" ht="15" hidden="false" customHeight="false" outlineLevel="0" collapsed="false">
      <c r="A11" s="1" t="n">
        <v>10</v>
      </c>
      <c r="B11" s="3" t="s">
        <v>47</v>
      </c>
      <c r="F11" s="1" t="n">
        <v>1</v>
      </c>
      <c r="I11" s="1" t="n">
        <v>1</v>
      </c>
    </row>
    <row r="12" customFormat="false" ht="15" hidden="false" customHeight="false" outlineLevel="0" collapsed="false">
      <c r="A12" s="1" t="n">
        <v>26</v>
      </c>
      <c r="B12" s="3" t="s">
        <v>50</v>
      </c>
      <c r="C12" s="1" t="s">
        <v>50</v>
      </c>
      <c r="D12" s="1" t="s">
        <v>49</v>
      </c>
      <c r="E12" s="1" t="s">
        <v>396</v>
      </c>
      <c r="F12" s="1" t="n">
        <v>8</v>
      </c>
      <c r="I12" s="1" t="n">
        <v>8</v>
      </c>
    </row>
    <row r="13" customFormat="false" ht="15" hidden="false" customHeight="false" outlineLevel="0" collapsed="false">
      <c r="A13" s="1" t="n">
        <v>11</v>
      </c>
      <c r="B13" s="3" t="s">
        <v>53</v>
      </c>
      <c r="F13" s="1" t="n">
        <v>1</v>
      </c>
      <c r="I13" s="1" t="n">
        <v>1</v>
      </c>
    </row>
    <row r="14" customFormat="false" ht="15" hidden="false" customHeight="false" outlineLevel="0" collapsed="false">
      <c r="A14" s="1" t="n">
        <v>12</v>
      </c>
      <c r="B14" s="3" t="s">
        <v>56</v>
      </c>
      <c r="C14" s="1" t="s">
        <v>56</v>
      </c>
      <c r="D14" s="1" t="s">
        <v>55</v>
      </c>
      <c r="E14" s="1" t="s">
        <v>431</v>
      </c>
      <c r="F14" s="1" t="n">
        <v>10</v>
      </c>
      <c r="I14" s="1" t="n">
        <v>10</v>
      </c>
    </row>
    <row r="15" customFormat="false" ht="15" hidden="false" customHeight="false" outlineLevel="0" collapsed="false">
      <c r="A15" s="1" t="n">
        <v>13</v>
      </c>
      <c r="B15" s="3" t="s">
        <v>60</v>
      </c>
      <c r="F15" s="1" t="n">
        <v>1</v>
      </c>
      <c r="I15" s="1" t="n">
        <v>1</v>
      </c>
    </row>
    <row r="16" customFormat="false" ht="15" hidden="false" customHeight="false" outlineLevel="0" collapsed="false">
      <c r="A16" s="1" t="n">
        <v>14</v>
      </c>
      <c r="B16" s="3" t="s">
        <v>63</v>
      </c>
      <c r="F16" s="1" t="n">
        <v>1</v>
      </c>
      <c r="I16" s="1" t="n">
        <v>1</v>
      </c>
    </row>
    <row r="17" customFormat="false" ht="15" hidden="false" customHeight="false" outlineLevel="0" collapsed="false">
      <c r="A17" s="1" t="n">
        <v>15</v>
      </c>
      <c r="B17" s="3" t="s">
        <v>66</v>
      </c>
      <c r="C17" s="1" t="s">
        <v>66</v>
      </c>
      <c r="D17" s="1" t="s">
        <v>65</v>
      </c>
      <c r="E17" s="1" t="s">
        <v>477</v>
      </c>
      <c r="F17" s="1" t="n">
        <v>9</v>
      </c>
      <c r="I17" s="1" t="n">
        <v>9</v>
      </c>
    </row>
    <row r="18" customFormat="false" ht="15" hidden="false" customHeight="false" outlineLevel="0" collapsed="false">
      <c r="A18" s="1" t="n">
        <v>16</v>
      </c>
      <c r="B18" s="3" t="s">
        <v>69</v>
      </c>
      <c r="C18" s="1" t="s">
        <v>69</v>
      </c>
      <c r="D18" s="1" t="s">
        <v>68</v>
      </c>
      <c r="E18" s="1" t="s">
        <v>592</v>
      </c>
      <c r="F18" s="1" t="n">
        <v>10</v>
      </c>
      <c r="I18" s="1" t="n">
        <v>10</v>
      </c>
    </row>
    <row r="19" customFormat="false" ht="15" hidden="false" customHeight="false" outlineLevel="0" collapsed="false">
      <c r="A19" s="1" t="n">
        <v>17</v>
      </c>
      <c r="B19" s="3" t="s">
        <v>72</v>
      </c>
      <c r="C19" s="1" t="s">
        <v>72</v>
      </c>
      <c r="D19" s="1" t="s">
        <v>71</v>
      </c>
      <c r="E19" s="1" t="s">
        <v>287</v>
      </c>
      <c r="F19" s="1" t="n">
        <v>10</v>
      </c>
      <c r="I19" s="1" t="n">
        <v>10</v>
      </c>
    </row>
    <row r="20" customFormat="false" ht="15" hidden="false" customHeight="false" outlineLevel="0" collapsed="false">
      <c r="A20" s="1" t="n">
        <v>18</v>
      </c>
      <c r="B20" s="3" t="s">
        <v>75</v>
      </c>
      <c r="C20" s="1" t="s">
        <v>75</v>
      </c>
      <c r="D20" s="1" t="s">
        <v>74</v>
      </c>
      <c r="E20" s="1" t="s">
        <v>586</v>
      </c>
      <c r="F20" s="1" t="n">
        <v>9</v>
      </c>
      <c r="I20" s="1" t="n">
        <v>9</v>
      </c>
    </row>
    <row r="21" customFormat="false" ht="15" hidden="false" customHeight="false" outlineLevel="0" collapsed="false">
      <c r="A21" s="1" t="n">
        <v>19</v>
      </c>
      <c r="B21" s="3" t="s">
        <v>78</v>
      </c>
      <c r="F21" s="1" t="n">
        <v>1</v>
      </c>
      <c r="I21" s="1" t="n">
        <v>1</v>
      </c>
    </row>
    <row r="22" customFormat="false" ht="15" hidden="false" customHeight="false" outlineLevel="0" collapsed="false">
      <c r="A22" s="1" t="n">
        <v>20</v>
      </c>
      <c r="B22" s="3" t="s">
        <v>81</v>
      </c>
      <c r="C22" s="1" t="s">
        <v>81</v>
      </c>
      <c r="D22" s="1" t="s">
        <v>80</v>
      </c>
      <c r="E22" s="1" t="s">
        <v>545</v>
      </c>
      <c r="F22" s="1" t="n">
        <v>9</v>
      </c>
      <c r="I22" s="1" t="n">
        <v>9</v>
      </c>
    </row>
    <row r="23" customFormat="false" ht="15" hidden="false" customHeight="false" outlineLevel="0" collapsed="false">
      <c r="A23" s="1" t="n">
        <v>21</v>
      </c>
      <c r="B23" s="3" t="s">
        <v>85</v>
      </c>
      <c r="C23" s="1" t="s">
        <v>85</v>
      </c>
      <c r="D23" s="1" t="s">
        <v>84</v>
      </c>
      <c r="E23" s="1" t="s">
        <v>534</v>
      </c>
      <c r="F23" s="1" t="n">
        <v>10</v>
      </c>
      <c r="G23" s="1" t="n">
        <f aca="false">AVERAGE(F23:F24)</f>
        <v>9.5</v>
      </c>
      <c r="H23" s="1" t="n">
        <v>9</v>
      </c>
      <c r="I23" s="1" t="n">
        <f aca="false">ROUND(MAX(H23,G23),0)</f>
        <v>10</v>
      </c>
    </row>
    <row r="24" customFormat="false" ht="15" hidden="false" customHeight="false" outlineLevel="0" collapsed="false">
      <c r="C24" s="1" t="s">
        <v>85</v>
      </c>
      <c r="D24" s="1" t="s">
        <v>84</v>
      </c>
      <c r="E24" s="1" t="s">
        <v>643</v>
      </c>
      <c r="F24" s="1" t="n">
        <v>9</v>
      </c>
    </row>
    <row r="25" customFormat="false" ht="15" hidden="false" customHeight="false" outlineLevel="0" collapsed="false">
      <c r="A25" s="1" t="n">
        <v>22</v>
      </c>
      <c r="B25" s="3" t="s">
        <v>88</v>
      </c>
      <c r="C25" s="1" t="s">
        <v>88</v>
      </c>
      <c r="D25" s="1" t="s">
        <v>87</v>
      </c>
      <c r="E25" s="1" t="s">
        <v>644</v>
      </c>
      <c r="F25" s="1" t="n">
        <v>9</v>
      </c>
      <c r="G25" s="1" t="n">
        <f aca="false">AVERAGE(F25:F30)</f>
        <v>7</v>
      </c>
      <c r="H25" s="1" t="n">
        <v>8</v>
      </c>
      <c r="I25" s="1" t="n">
        <f aca="false">ROUND(MAX(H25,G25),0)</f>
        <v>8</v>
      </c>
    </row>
    <row r="26" customFormat="false" ht="15" hidden="false" customHeight="false" outlineLevel="0" collapsed="false">
      <c r="C26" s="1" t="s">
        <v>88</v>
      </c>
      <c r="D26" s="1" t="s">
        <v>87</v>
      </c>
      <c r="E26" s="1" t="s">
        <v>645</v>
      </c>
      <c r="F26" s="1" t="n">
        <v>9</v>
      </c>
    </row>
    <row r="27" customFormat="false" ht="15" hidden="false" customHeight="false" outlineLevel="0" collapsed="false">
      <c r="C27" s="1" t="s">
        <v>88</v>
      </c>
      <c r="D27" s="1" t="s">
        <v>87</v>
      </c>
      <c r="E27" s="1" t="s">
        <v>646</v>
      </c>
      <c r="F27" s="1" t="n">
        <v>8</v>
      </c>
    </row>
    <row r="28" customFormat="false" ht="15" hidden="false" customHeight="false" outlineLevel="0" collapsed="false">
      <c r="C28" s="1" t="s">
        <v>88</v>
      </c>
      <c r="D28" s="1" t="s">
        <v>87</v>
      </c>
      <c r="E28" s="1" t="s">
        <v>647</v>
      </c>
      <c r="F28" s="1" t="n">
        <v>6</v>
      </c>
    </row>
    <row r="29" customFormat="false" ht="15" hidden="false" customHeight="false" outlineLevel="0" collapsed="false">
      <c r="C29" s="1" t="s">
        <v>88</v>
      </c>
      <c r="D29" s="1" t="s">
        <v>87</v>
      </c>
      <c r="E29" s="1" t="s">
        <v>648</v>
      </c>
      <c r="F29" s="1" t="n">
        <v>6</v>
      </c>
    </row>
    <row r="30" customFormat="false" ht="15" hidden="false" customHeight="false" outlineLevel="0" collapsed="false">
      <c r="C30" s="1" t="s">
        <v>88</v>
      </c>
      <c r="D30" s="1" t="s">
        <v>87</v>
      </c>
      <c r="E30" s="1" t="s">
        <v>641</v>
      </c>
      <c r="F30" s="1" t="n">
        <v>4</v>
      </c>
    </row>
    <row r="31" customFormat="false" ht="15" hidden="false" customHeight="false" outlineLevel="0" collapsed="false">
      <c r="A31" s="1" t="n">
        <v>23</v>
      </c>
      <c r="B31" s="3" t="s">
        <v>91</v>
      </c>
      <c r="C31" s="1" t="s">
        <v>91</v>
      </c>
      <c r="D31" s="1" t="s">
        <v>90</v>
      </c>
      <c r="E31" s="1" t="s">
        <v>649</v>
      </c>
      <c r="F31" s="1" t="n">
        <v>10</v>
      </c>
      <c r="G31" s="1" t="n">
        <f aca="false">AVERAGE(F31:F38)</f>
        <v>9.5</v>
      </c>
      <c r="H31" s="1" t="n">
        <v>9</v>
      </c>
      <c r="I31" s="1" t="n">
        <f aca="false">ROUND(MAX(H31,G31),0)</f>
        <v>10</v>
      </c>
    </row>
    <row r="32" customFormat="false" ht="15" hidden="false" customHeight="false" outlineLevel="0" collapsed="false">
      <c r="C32" s="1" t="s">
        <v>91</v>
      </c>
      <c r="D32" s="1" t="s">
        <v>90</v>
      </c>
      <c r="E32" s="1" t="s">
        <v>650</v>
      </c>
      <c r="F32" s="1" t="n">
        <v>10</v>
      </c>
    </row>
    <row r="33" customFormat="false" ht="15" hidden="false" customHeight="false" outlineLevel="0" collapsed="false">
      <c r="C33" s="1" t="s">
        <v>91</v>
      </c>
      <c r="D33" s="1" t="s">
        <v>90</v>
      </c>
      <c r="E33" s="1" t="s">
        <v>651</v>
      </c>
      <c r="F33" s="1" t="n">
        <v>10</v>
      </c>
    </row>
    <row r="34" customFormat="false" ht="15" hidden="false" customHeight="false" outlineLevel="0" collapsed="false">
      <c r="C34" s="1" t="s">
        <v>91</v>
      </c>
      <c r="D34" s="1" t="s">
        <v>90</v>
      </c>
      <c r="E34" s="1" t="s">
        <v>652</v>
      </c>
      <c r="F34" s="1" t="n">
        <v>10</v>
      </c>
    </row>
    <row r="35" customFormat="false" ht="15" hidden="false" customHeight="false" outlineLevel="0" collapsed="false">
      <c r="C35" s="1" t="s">
        <v>91</v>
      </c>
      <c r="D35" s="1" t="s">
        <v>90</v>
      </c>
      <c r="E35" s="1" t="s">
        <v>653</v>
      </c>
      <c r="F35" s="1" t="n">
        <v>9</v>
      </c>
    </row>
    <row r="36" customFormat="false" ht="15" hidden="false" customHeight="false" outlineLevel="0" collapsed="false">
      <c r="C36" s="1" t="s">
        <v>91</v>
      </c>
      <c r="D36" s="1" t="s">
        <v>90</v>
      </c>
      <c r="E36" s="1" t="s">
        <v>502</v>
      </c>
      <c r="F36" s="1" t="n">
        <v>9</v>
      </c>
    </row>
    <row r="37" customFormat="false" ht="15" hidden="false" customHeight="false" outlineLevel="0" collapsed="false">
      <c r="C37" s="1" t="s">
        <v>91</v>
      </c>
      <c r="D37" s="1" t="s">
        <v>90</v>
      </c>
      <c r="E37" s="1" t="s">
        <v>654</v>
      </c>
      <c r="F37" s="1" t="n">
        <v>9</v>
      </c>
    </row>
    <row r="38" customFormat="false" ht="15" hidden="false" customHeight="false" outlineLevel="0" collapsed="false">
      <c r="C38" s="1" t="s">
        <v>91</v>
      </c>
      <c r="D38" s="1" t="s">
        <v>90</v>
      </c>
      <c r="E38" s="1" t="s">
        <v>655</v>
      </c>
      <c r="F38" s="1" t="n">
        <v>9</v>
      </c>
    </row>
    <row r="39" customFormat="false" ht="21.6" hidden="false" customHeight="true" outlineLevel="0" collapsed="false">
      <c r="A39" s="1" t="n">
        <v>24</v>
      </c>
      <c r="B39" s="3" t="s">
        <v>94</v>
      </c>
      <c r="F39" s="1" t="n">
        <v>1</v>
      </c>
      <c r="I39" s="1" t="n">
        <v>1</v>
      </c>
    </row>
    <row r="40" customFormat="false" ht="12.65" hidden="false" customHeight="true" outlineLevel="0" collapsed="false">
      <c r="A40" s="1" t="n">
        <v>25</v>
      </c>
      <c r="B40" s="3" t="s">
        <v>97</v>
      </c>
      <c r="F40" s="1" t="n">
        <v>1</v>
      </c>
      <c r="I40" s="1" t="n">
        <v>1</v>
      </c>
    </row>
    <row r="41" customFormat="false" ht="14.9" hidden="false" customHeight="true" outlineLevel="0" collapsed="false">
      <c r="H41" s="1" t="s">
        <v>0</v>
      </c>
      <c r="I41" s="1" t="n">
        <f aca="false">COUNTIF(I2:I40,"&gt;0")</f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false" showOutlineSymbols="true" defaultGridColor="true" view="normal" topLeftCell="A3" colorId="64" zoomScale="80" zoomScaleNormal="80" zoomScalePageLayoutView="100" workbookViewId="0">
      <selection pane="topLeft" activeCell="I24" activeCellId="0" sqref="I24"/>
    </sheetView>
  </sheetViews>
  <sheetFormatPr defaultColWidth="9.5390625" defaultRowHeight="15" zeroHeight="false" outlineLevelRow="0" outlineLevelCol="0"/>
  <cols>
    <col collapsed="false" customWidth="true" hidden="false" outlineLevel="0" max="1" min="1" style="1" width="3.29"/>
    <col collapsed="false" customWidth="true" hidden="false" outlineLevel="0" max="3" min="2" style="1" width="18.61"/>
  </cols>
  <sheetData>
    <row r="1" customFormat="false" ht="15" hidden="false" customHeight="false" outlineLevel="0" collapsed="false">
      <c r="C1" s="1" t="s">
        <v>3</v>
      </c>
      <c r="D1" s="1" t="s">
        <v>2</v>
      </c>
      <c r="E1" s="1" t="s">
        <v>233</v>
      </c>
      <c r="F1" s="1" t="s">
        <v>234</v>
      </c>
      <c r="G1" s="1" t="s">
        <v>116</v>
      </c>
      <c r="H1" s="1" t="s">
        <v>235</v>
      </c>
      <c r="I1" s="1" t="s">
        <v>236</v>
      </c>
    </row>
    <row r="2" customFormat="false" ht="15" hidden="false" customHeight="false" outlineLevel="0" collapsed="false">
      <c r="A2" s="1" t="n">
        <v>1</v>
      </c>
      <c r="B2" s="3" t="s">
        <v>16</v>
      </c>
      <c r="C2" s="1" t="s">
        <v>16</v>
      </c>
      <c r="D2" s="1" t="s">
        <v>15</v>
      </c>
      <c r="E2" s="1" t="s">
        <v>646</v>
      </c>
      <c r="F2" s="1" t="n">
        <v>10</v>
      </c>
      <c r="I2" s="1" t="n">
        <v>10</v>
      </c>
    </row>
    <row r="3" customFormat="false" ht="15" hidden="false" customHeight="false" outlineLevel="0" collapsed="false">
      <c r="A3" s="1" t="n">
        <v>2</v>
      </c>
      <c r="B3" s="3" t="s">
        <v>23</v>
      </c>
      <c r="F3" s="1" t="n">
        <v>1</v>
      </c>
      <c r="I3" s="1" t="n">
        <v>1</v>
      </c>
    </row>
    <row r="4" customFormat="false" ht="15" hidden="false" customHeight="false" outlineLevel="0" collapsed="false">
      <c r="A4" s="1" t="n">
        <v>3</v>
      </c>
      <c r="B4" s="3" t="s">
        <v>26</v>
      </c>
      <c r="C4" s="1" t="s">
        <v>26</v>
      </c>
      <c r="D4" s="1" t="s">
        <v>25</v>
      </c>
      <c r="E4" s="1" t="s">
        <v>656</v>
      </c>
      <c r="F4" s="1" t="n">
        <v>10</v>
      </c>
      <c r="I4" s="1" t="n">
        <v>10</v>
      </c>
    </row>
    <row r="5" customFormat="false" ht="15" hidden="false" customHeight="false" outlineLevel="0" collapsed="false">
      <c r="A5" s="1" t="n">
        <v>4</v>
      </c>
      <c r="B5" s="3" t="s">
        <v>29</v>
      </c>
      <c r="F5" s="1" t="n">
        <v>1</v>
      </c>
      <c r="I5" s="1" t="n">
        <v>1</v>
      </c>
    </row>
    <row r="6" customFormat="false" ht="15" hidden="false" customHeight="false" outlineLevel="0" collapsed="false">
      <c r="A6" s="1" t="n">
        <v>5</v>
      </c>
      <c r="B6" s="3" t="s">
        <v>32</v>
      </c>
      <c r="C6" s="1" t="s">
        <v>32</v>
      </c>
      <c r="D6" s="1" t="s">
        <v>31</v>
      </c>
      <c r="E6" s="1" t="s">
        <v>394</v>
      </c>
      <c r="F6" s="1" t="n">
        <v>3</v>
      </c>
      <c r="G6" s="1" t="n">
        <f aca="false">AVERAGE(F6:F8)</f>
        <v>7.33333333333333</v>
      </c>
      <c r="H6" s="1" t="n">
        <v>9</v>
      </c>
      <c r="I6" s="1" t="n">
        <f aca="false">ROUND(MAX(H6,G6),0)</f>
        <v>9</v>
      </c>
    </row>
    <row r="7" customFormat="false" ht="15" hidden="false" customHeight="false" outlineLevel="0" collapsed="false">
      <c r="C7" s="1" t="s">
        <v>32</v>
      </c>
      <c r="D7" s="1" t="s">
        <v>31</v>
      </c>
      <c r="E7" s="1" t="s">
        <v>657</v>
      </c>
      <c r="F7" s="1" t="n">
        <v>9</v>
      </c>
    </row>
    <row r="8" customFormat="false" ht="15" hidden="false" customHeight="false" outlineLevel="0" collapsed="false">
      <c r="C8" s="1" t="s">
        <v>32</v>
      </c>
      <c r="D8" s="1" t="s">
        <v>31</v>
      </c>
      <c r="E8" s="1" t="s">
        <v>658</v>
      </c>
      <c r="F8" s="1" t="n">
        <v>10</v>
      </c>
    </row>
    <row r="9" customFormat="false" ht="15" hidden="false" customHeight="false" outlineLevel="0" collapsed="false">
      <c r="A9" s="1" t="n">
        <v>6</v>
      </c>
      <c r="B9" s="3" t="s">
        <v>35</v>
      </c>
      <c r="F9" s="1" t="n">
        <v>1</v>
      </c>
      <c r="I9" s="1" t="n">
        <v>1</v>
      </c>
    </row>
    <row r="10" customFormat="false" ht="15" hidden="false" customHeight="false" outlineLevel="0" collapsed="false">
      <c r="A10" s="1" t="n">
        <v>7</v>
      </c>
      <c r="B10" s="3" t="s">
        <v>38</v>
      </c>
      <c r="F10" s="1" t="n">
        <v>1</v>
      </c>
      <c r="I10" s="1" t="n">
        <v>1</v>
      </c>
    </row>
    <row r="11" customFormat="false" ht="15" hidden="false" customHeight="false" outlineLevel="0" collapsed="false">
      <c r="A11" s="1" t="n">
        <v>8</v>
      </c>
      <c r="B11" s="3" t="s">
        <v>41</v>
      </c>
      <c r="F11" s="1" t="n">
        <v>1</v>
      </c>
      <c r="I11" s="1" t="n">
        <v>1</v>
      </c>
    </row>
    <row r="12" customFormat="false" ht="15" hidden="false" customHeight="false" outlineLevel="0" collapsed="false">
      <c r="A12" s="1" t="n">
        <v>9</v>
      </c>
      <c r="B12" s="3" t="s">
        <v>44</v>
      </c>
      <c r="F12" s="1" t="n">
        <v>1</v>
      </c>
      <c r="I12" s="1" t="n">
        <v>1</v>
      </c>
    </row>
    <row r="13" customFormat="false" ht="15" hidden="false" customHeight="false" outlineLevel="0" collapsed="false">
      <c r="A13" s="1" t="n">
        <v>10</v>
      </c>
      <c r="B13" s="3" t="s">
        <v>47</v>
      </c>
      <c r="F13" s="1" t="n">
        <v>1</v>
      </c>
      <c r="I13" s="1" t="n">
        <v>1</v>
      </c>
    </row>
    <row r="14" customFormat="false" ht="15" hidden="false" customHeight="false" outlineLevel="0" collapsed="false">
      <c r="A14" s="1" t="n">
        <v>26</v>
      </c>
      <c r="B14" s="3" t="s">
        <v>50</v>
      </c>
      <c r="C14" s="1" t="s">
        <v>50</v>
      </c>
      <c r="D14" s="1" t="s">
        <v>49</v>
      </c>
      <c r="E14" s="1" t="s">
        <v>659</v>
      </c>
      <c r="F14" s="1" t="n">
        <v>10</v>
      </c>
      <c r="I14" s="1" t="n">
        <v>10</v>
      </c>
    </row>
    <row r="15" customFormat="false" ht="15" hidden="false" customHeight="false" outlineLevel="0" collapsed="false">
      <c r="A15" s="1" t="n">
        <v>11</v>
      </c>
      <c r="B15" s="3" t="s">
        <v>53</v>
      </c>
      <c r="F15" s="1" t="n">
        <v>1</v>
      </c>
      <c r="I15" s="1" t="n">
        <v>1</v>
      </c>
    </row>
    <row r="16" customFormat="false" ht="15" hidden="false" customHeight="false" outlineLevel="0" collapsed="false">
      <c r="A16" s="1" t="n">
        <v>12</v>
      </c>
      <c r="B16" s="3" t="s">
        <v>56</v>
      </c>
      <c r="C16" s="1" t="s">
        <v>56</v>
      </c>
      <c r="D16" s="1" t="s">
        <v>55</v>
      </c>
      <c r="E16" s="1" t="s">
        <v>396</v>
      </c>
      <c r="F16" s="1" t="n">
        <v>10</v>
      </c>
      <c r="I16" s="1" t="n">
        <v>10</v>
      </c>
    </row>
    <row r="17" customFormat="false" ht="15" hidden="false" customHeight="false" outlineLevel="0" collapsed="false">
      <c r="A17" s="1" t="n">
        <v>13</v>
      </c>
      <c r="B17" s="3" t="s">
        <v>60</v>
      </c>
      <c r="F17" s="1" t="n">
        <v>1</v>
      </c>
      <c r="I17" s="1" t="n">
        <v>1</v>
      </c>
    </row>
    <row r="18" customFormat="false" ht="15" hidden="false" customHeight="false" outlineLevel="0" collapsed="false">
      <c r="A18" s="1" t="n">
        <v>14</v>
      </c>
      <c r="B18" s="3" t="s">
        <v>63</v>
      </c>
      <c r="F18" s="1" t="n">
        <v>1</v>
      </c>
      <c r="I18" s="1" t="n">
        <v>1</v>
      </c>
    </row>
    <row r="19" customFormat="false" ht="15" hidden="false" customHeight="false" outlineLevel="0" collapsed="false">
      <c r="A19" s="1" t="n">
        <v>15</v>
      </c>
      <c r="B19" s="3" t="s">
        <v>66</v>
      </c>
      <c r="C19" s="1" t="s">
        <v>66</v>
      </c>
      <c r="D19" s="1" t="s">
        <v>65</v>
      </c>
      <c r="E19" s="1" t="s">
        <v>660</v>
      </c>
      <c r="F19" s="1" t="n">
        <v>6</v>
      </c>
      <c r="I19" s="1" t="n">
        <v>6</v>
      </c>
    </row>
    <row r="20" customFormat="false" ht="15" hidden="false" customHeight="false" outlineLevel="0" collapsed="false">
      <c r="A20" s="1" t="n">
        <v>16</v>
      </c>
      <c r="B20" s="3" t="s">
        <v>69</v>
      </c>
      <c r="F20" s="1" t="n">
        <v>1</v>
      </c>
      <c r="I20" s="1" t="n">
        <v>1</v>
      </c>
    </row>
    <row r="21" customFormat="false" ht="15" hidden="false" customHeight="false" outlineLevel="0" collapsed="false">
      <c r="A21" s="1" t="n">
        <v>17</v>
      </c>
      <c r="B21" s="3" t="s">
        <v>72</v>
      </c>
      <c r="C21" s="1" t="s">
        <v>72</v>
      </c>
      <c r="D21" s="1" t="s">
        <v>71</v>
      </c>
      <c r="E21" s="1" t="s">
        <v>661</v>
      </c>
      <c r="F21" s="1" t="n">
        <v>9</v>
      </c>
      <c r="I21" s="1" t="n">
        <v>9</v>
      </c>
    </row>
    <row r="22" customFormat="false" ht="15" hidden="false" customHeight="false" outlineLevel="0" collapsed="false">
      <c r="A22" s="1" t="n">
        <v>18</v>
      </c>
      <c r="B22" s="3" t="s">
        <v>75</v>
      </c>
      <c r="C22" s="1" t="s">
        <v>75</v>
      </c>
      <c r="D22" s="1" t="s">
        <v>74</v>
      </c>
      <c r="E22" s="1" t="s">
        <v>396</v>
      </c>
      <c r="F22" s="1" t="n">
        <v>9</v>
      </c>
      <c r="I22" s="1" t="n">
        <v>9</v>
      </c>
    </row>
    <row r="23" customFormat="false" ht="15" hidden="false" customHeight="false" outlineLevel="0" collapsed="false">
      <c r="A23" s="1" t="n">
        <v>19</v>
      </c>
      <c r="B23" s="3" t="s">
        <v>78</v>
      </c>
      <c r="F23" s="1" t="n">
        <v>1</v>
      </c>
      <c r="I23" s="1" t="n">
        <v>1</v>
      </c>
    </row>
    <row r="24" customFormat="false" ht="15" hidden="false" customHeight="false" outlineLevel="0" collapsed="false">
      <c r="A24" s="1" t="n">
        <v>20</v>
      </c>
      <c r="B24" s="3" t="s">
        <v>81</v>
      </c>
      <c r="C24" s="1" t="s">
        <v>81</v>
      </c>
      <c r="D24" s="1" t="s">
        <v>80</v>
      </c>
      <c r="E24" s="1" t="s">
        <v>662</v>
      </c>
      <c r="F24" s="1" t="n">
        <v>8</v>
      </c>
      <c r="I24" s="1" t="n">
        <v>8</v>
      </c>
    </row>
    <row r="25" customFormat="false" ht="15" hidden="false" customHeight="false" outlineLevel="0" collapsed="false">
      <c r="A25" s="1" t="n">
        <v>21</v>
      </c>
      <c r="B25" s="3" t="s">
        <v>85</v>
      </c>
      <c r="C25" s="1" t="s">
        <v>85</v>
      </c>
      <c r="D25" s="1" t="s">
        <v>84</v>
      </c>
      <c r="E25" s="1" t="s">
        <v>663</v>
      </c>
      <c r="F25" s="1" t="n">
        <v>10</v>
      </c>
      <c r="I25" s="1" t="n">
        <v>10</v>
      </c>
    </row>
    <row r="26" customFormat="false" ht="15" hidden="false" customHeight="false" outlineLevel="0" collapsed="false">
      <c r="A26" s="1" t="n">
        <v>22</v>
      </c>
      <c r="B26" s="3" t="s">
        <v>88</v>
      </c>
      <c r="C26" s="1" t="s">
        <v>88</v>
      </c>
      <c r="D26" s="1" t="s">
        <v>87</v>
      </c>
      <c r="E26" s="1" t="s">
        <v>326</v>
      </c>
      <c r="F26" s="1" t="n">
        <v>10</v>
      </c>
      <c r="G26" s="1" t="n">
        <f aca="false">AVERAGE(F26:F29)</f>
        <v>9.5</v>
      </c>
      <c r="H26" s="1" t="n">
        <v>9</v>
      </c>
      <c r="I26" s="1" t="n">
        <f aca="false">ROUND(MAX(H26,G26),0)</f>
        <v>10</v>
      </c>
    </row>
    <row r="27" customFormat="false" ht="15" hidden="false" customHeight="false" outlineLevel="0" collapsed="false">
      <c r="C27" s="1" t="s">
        <v>88</v>
      </c>
      <c r="D27" s="1" t="s">
        <v>87</v>
      </c>
      <c r="E27" s="1" t="s">
        <v>664</v>
      </c>
      <c r="F27" s="1" t="n">
        <v>10</v>
      </c>
    </row>
    <row r="28" customFormat="false" ht="15" hidden="false" customHeight="false" outlineLevel="0" collapsed="false">
      <c r="C28" s="1" t="s">
        <v>88</v>
      </c>
      <c r="D28" s="1" t="s">
        <v>87</v>
      </c>
      <c r="E28" s="1" t="s">
        <v>665</v>
      </c>
      <c r="F28" s="1" t="n">
        <v>9</v>
      </c>
    </row>
    <row r="29" customFormat="false" ht="15" hidden="false" customHeight="false" outlineLevel="0" collapsed="false">
      <c r="C29" s="1" t="s">
        <v>88</v>
      </c>
      <c r="D29" s="1" t="s">
        <v>87</v>
      </c>
      <c r="E29" s="1" t="s">
        <v>666</v>
      </c>
      <c r="F29" s="1" t="n">
        <v>9</v>
      </c>
    </row>
    <row r="30" customFormat="false" ht="15" hidden="false" customHeight="false" outlineLevel="0" collapsed="false">
      <c r="A30" s="1" t="n">
        <v>23</v>
      </c>
      <c r="B30" s="3" t="s">
        <v>91</v>
      </c>
      <c r="C30" s="1" t="s">
        <v>91</v>
      </c>
      <c r="D30" s="1" t="s">
        <v>90</v>
      </c>
      <c r="E30" s="1" t="s">
        <v>431</v>
      </c>
      <c r="F30" s="1" t="n">
        <v>9</v>
      </c>
      <c r="G30" s="1" t="n">
        <f aca="false">AVERAGE(F30:F33)</f>
        <v>9.5</v>
      </c>
      <c r="H30" s="1" t="n">
        <v>9</v>
      </c>
      <c r="I30" s="1" t="n">
        <f aca="false">ROUND(MAX(H30,G30),0)</f>
        <v>10</v>
      </c>
    </row>
    <row r="31" customFormat="false" ht="15" hidden="false" customHeight="false" outlineLevel="0" collapsed="false">
      <c r="C31" s="1" t="s">
        <v>91</v>
      </c>
      <c r="D31" s="1" t="s">
        <v>90</v>
      </c>
      <c r="E31" s="1" t="s">
        <v>667</v>
      </c>
      <c r="F31" s="1" t="n">
        <v>9</v>
      </c>
    </row>
    <row r="32" customFormat="false" ht="15" hidden="false" customHeight="false" outlineLevel="0" collapsed="false">
      <c r="C32" s="1" t="s">
        <v>91</v>
      </c>
      <c r="D32" s="1" t="s">
        <v>90</v>
      </c>
      <c r="E32" s="1" t="s">
        <v>436</v>
      </c>
      <c r="F32" s="1" t="n">
        <v>10</v>
      </c>
    </row>
    <row r="33" customFormat="false" ht="15" hidden="false" customHeight="false" outlineLevel="0" collapsed="false">
      <c r="C33" s="1" t="s">
        <v>91</v>
      </c>
      <c r="D33" s="1" t="s">
        <v>90</v>
      </c>
      <c r="E33" s="1" t="s">
        <v>668</v>
      </c>
      <c r="F33" s="1" t="n">
        <v>10</v>
      </c>
    </row>
    <row r="34" customFormat="false" ht="15" hidden="false" customHeight="false" outlineLevel="0" collapsed="false">
      <c r="A34" s="1" t="n">
        <v>24</v>
      </c>
      <c r="B34" s="3" t="s">
        <v>94</v>
      </c>
      <c r="F34" s="1" t="n">
        <v>1</v>
      </c>
      <c r="I34" s="1" t="n">
        <v>1</v>
      </c>
    </row>
    <row r="35" customFormat="false" ht="15" hidden="false" customHeight="false" outlineLevel="0" collapsed="false">
      <c r="A35" s="1" t="n">
        <v>25</v>
      </c>
      <c r="B35" s="3" t="s">
        <v>97</v>
      </c>
      <c r="F35" s="1" t="n">
        <v>1</v>
      </c>
      <c r="I35" s="1" t="n">
        <v>1</v>
      </c>
    </row>
    <row r="36" customFormat="false" ht="15" hidden="false" customHeight="false" outlineLevel="0" collapsed="false">
      <c r="H36" s="1" t="s">
        <v>0</v>
      </c>
      <c r="I36" s="1" t="n">
        <f aca="false">COUNTIF(I2:I35,"&gt;0")</f>
        <v>26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B1" colorId="64" zoomScale="80" zoomScaleNormal="80" zoomScalePageLayoutView="100" workbookViewId="0">
      <selection pane="topLeft" activeCell="I39" activeCellId="0" sqref="I39"/>
    </sheetView>
  </sheetViews>
  <sheetFormatPr defaultColWidth="9.5390625" defaultRowHeight="12.8" zeroHeight="false" outlineLevelRow="0" outlineLevelCol="0"/>
  <cols>
    <col collapsed="false" customWidth="true" hidden="false" outlineLevel="0" max="1" min="1" style="1" width="3.29"/>
    <col collapsed="false" customWidth="true" hidden="false" outlineLevel="0" max="3" min="2" style="1" width="18.61"/>
    <col collapsed="false" customWidth="true" hidden="false" outlineLevel="0" max="4" min="4" style="1" width="14.88"/>
    <col collapsed="false" customWidth="true" hidden="false" outlineLevel="0" max="5" min="5" style="1" width="22.2"/>
  </cols>
  <sheetData>
    <row r="1" customFormat="false" ht="15" hidden="false" customHeight="false" outlineLevel="0" collapsed="false">
      <c r="C1" s="1" t="s">
        <v>3</v>
      </c>
      <c r="D1" s="1" t="s">
        <v>2</v>
      </c>
      <c r="E1" s="1" t="s">
        <v>233</v>
      </c>
      <c r="F1" s="1" t="s">
        <v>234</v>
      </c>
      <c r="G1" s="1" t="s">
        <v>116</v>
      </c>
      <c r="H1" s="1" t="s">
        <v>235</v>
      </c>
      <c r="I1" s="1" t="s">
        <v>236</v>
      </c>
    </row>
    <row r="2" customFormat="false" ht="15" hidden="false" customHeight="false" outlineLevel="0" collapsed="false">
      <c r="A2" s="1" t="n">
        <v>1</v>
      </c>
      <c r="B2" s="3" t="s">
        <v>16</v>
      </c>
      <c r="C2" s="1" t="s">
        <v>16</v>
      </c>
      <c r="D2" s="1" t="s">
        <v>15</v>
      </c>
      <c r="E2" s="1" t="s">
        <v>627</v>
      </c>
      <c r="F2" s="1" t="n">
        <v>9</v>
      </c>
      <c r="I2" s="1" t="n">
        <v>9</v>
      </c>
    </row>
    <row r="3" customFormat="false" ht="15" hidden="false" customHeight="false" outlineLevel="0" collapsed="false">
      <c r="A3" s="1" t="n">
        <v>2</v>
      </c>
      <c r="B3" s="3" t="s">
        <v>23</v>
      </c>
      <c r="F3" s="1" t="n">
        <v>1</v>
      </c>
      <c r="I3" s="1" t="n">
        <v>1</v>
      </c>
    </row>
    <row r="4" customFormat="false" ht="15" hidden="false" customHeight="false" outlineLevel="0" collapsed="false">
      <c r="A4" s="1" t="n">
        <v>3</v>
      </c>
      <c r="B4" s="3" t="s">
        <v>26</v>
      </c>
      <c r="C4" s="1" t="s">
        <v>26</v>
      </c>
      <c r="D4" s="1" t="s">
        <v>25</v>
      </c>
      <c r="E4" s="1" t="s">
        <v>669</v>
      </c>
      <c r="F4" s="1" t="n">
        <v>8</v>
      </c>
      <c r="I4" s="1" t="n">
        <v>8</v>
      </c>
    </row>
    <row r="5" customFormat="false" ht="15" hidden="false" customHeight="false" outlineLevel="0" collapsed="false">
      <c r="A5" s="1" t="n">
        <v>4</v>
      </c>
      <c r="B5" s="3" t="s">
        <v>29</v>
      </c>
      <c r="F5" s="1" t="n">
        <v>1</v>
      </c>
      <c r="I5" s="1" t="n">
        <v>1</v>
      </c>
    </row>
    <row r="6" customFormat="false" ht="15" hidden="false" customHeight="false" outlineLevel="0" collapsed="false">
      <c r="A6" s="1" t="n">
        <v>5</v>
      </c>
      <c r="B6" s="3" t="s">
        <v>32</v>
      </c>
      <c r="C6" s="1" t="s">
        <v>32</v>
      </c>
      <c r="D6" s="1" t="s">
        <v>31</v>
      </c>
      <c r="E6" s="1" t="s">
        <v>667</v>
      </c>
      <c r="F6" s="1" t="n">
        <v>8</v>
      </c>
      <c r="G6" s="1" t="n">
        <f aca="false">AVERAGE(F6:F9)</f>
        <v>6.25</v>
      </c>
      <c r="H6" s="1" t="n">
        <v>7</v>
      </c>
      <c r="I6" s="1" t="n">
        <f aca="false">ROUND(MAX(H6,G6),0)</f>
        <v>7</v>
      </c>
    </row>
    <row r="7" customFormat="false" ht="15" hidden="false" customHeight="false" outlineLevel="0" collapsed="false">
      <c r="C7" s="1" t="s">
        <v>32</v>
      </c>
      <c r="D7" s="1" t="s">
        <v>31</v>
      </c>
      <c r="E7" s="1" t="s">
        <v>670</v>
      </c>
      <c r="F7" s="1" t="n">
        <v>8</v>
      </c>
    </row>
    <row r="8" customFormat="false" ht="15" hidden="false" customHeight="false" outlineLevel="0" collapsed="false">
      <c r="C8" s="1" t="s">
        <v>32</v>
      </c>
      <c r="D8" s="1" t="s">
        <v>31</v>
      </c>
      <c r="E8" s="1" t="s">
        <v>671</v>
      </c>
      <c r="F8" s="1" t="n">
        <v>7</v>
      </c>
    </row>
    <row r="9" customFormat="false" ht="15" hidden="false" customHeight="false" outlineLevel="0" collapsed="false">
      <c r="C9" s="1" t="s">
        <v>32</v>
      </c>
      <c r="D9" s="1" t="s">
        <v>31</v>
      </c>
      <c r="E9" s="1" t="s">
        <v>672</v>
      </c>
      <c r="F9" s="1" t="n">
        <v>2</v>
      </c>
    </row>
    <row r="10" customFormat="false" ht="15" hidden="false" customHeight="false" outlineLevel="0" collapsed="false">
      <c r="A10" s="1" t="n">
        <v>6</v>
      </c>
      <c r="B10" s="3" t="s">
        <v>35</v>
      </c>
      <c r="F10" s="1" t="n">
        <v>1</v>
      </c>
      <c r="I10" s="1" t="n">
        <v>1</v>
      </c>
    </row>
    <row r="11" customFormat="false" ht="15" hidden="false" customHeight="false" outlineLevel="0" collapsed="false">
      <c r="A11" s="1" t="n">
        <v>7</v>
      </c>
      <c r="B11" s="3" t="s">
        <v>38</v>
      </c>
      <c r="F11" s="1" t="n">
        <v>1</v>
      </c>
      <c r="I11" s="1" t="n">
        <v>1</v>
      </c>
    </row>
    <row r="12" customFormat="false" ht="15" hidden="false" customHeight="false" outlineLevel="0" collapsed="false">
      <c r="A12" s="1" t="n">
        <v>8</v>
      </c>
      <c r="B12" s="3" t="s">
        <v>41</v>
      </c>
      <c r="F12" s="1" t="n">
        <v>1</v>
      </c>
      <c r="I12" s="1" t="n">
        <v>1</v>
      </c>
    </row>
    <row r="13" customFormat="false" ht="15" hidden="false" customHeight="false" outlineLevel="0" collapsed="false">
      <c r="A13" s="1" t="n">
        <v>9</v>
      </c>
      <c r="B13" s="3" t="s">
        <v>44</v>
      </c>
      <c r="F13" s="1" t="n">
        <v>1</v>
      </c>
      <c r="I13" s="1" t="n">
        <v>1</v>
      </c>
    </row>
    <row r="14" customFormat="false" ht="15" hidden="false" customHeight="false" outlineLevel="0" collapsed="false">
      <c r="A14" s="1" t="n">
        <v>10</v>
      </c>
      <c r="B14" s="3" t="s">
        <v>47</v>
      </c>
      <c r="F14" s="1" t="n">
        <v>1</v>
      </c>
      <c r="I14" s="1" t="n">
        <v>1</v>
      </c>
    </row>
    <row r="15" customFormat="false" ht="15" hidden="false" customHeight="false" outlineLevel="0" collapsed="false">
      <c r="A15" s="1" t="n">
        <v>26</v>
      </c>
      <c r="B15" s="3" t="s">
        <v>50</v>
      </c>
      <c r="C15" s="1" t="s">
        <v>50</v>
      </c>
      <c r="D15" s="1" t="s">
        <v>49</v>
      </c>
      <c r="E15" s="1" t="s">
        <v>619</v>
      </c>
      <c r="F15" s="1" t="n">
        <v>9</v>
      </c>
      <c r="I15" s="1" t="n">
        <v>9</v>
      </c>
    </row>
    <row r="16" customFormat="false" ht="15" hidden="false" customHeight="false" outlineLevel="0" collapsed="false">
      <c r="A16" s="1" t="n">
        <v>11</v>
      </c>
      <c r="B16" s="3" t="s">
        <v>53</v>
      </c>
      <c r="F16" s="1" t="n">
        <v>1</v>
      </c>
      <c r="I16" s="1" t="n">
        <v>1</v>
      </c>
    </row>
    <row r="17" customFormat="false" ht="15" hidden="false" customHeight="false" outlineLevel="0" collapsed="false">
      <c r="A17" s="1" t="n">
        <v>12</v>
      </c>
      <c r="B17" s="3" t="s">
        <v>56</v>
      </c>
      <c r="C17" s="1" t="s">
        <v>56</v>
      </c>
      <c r="D17" s="1" t="s">
        <v>55</v>
      </c>
      <c r="E17" s="1" t="s">
        <v>388</v>
      </c>
      <c r="F17" s="1" t="n">
        <v>9</v>
      </c>
      <c r="I17" s="1" t="n">
        <v>9</v>
      </c>
    </row>
    <row r="18" customFormat="false" ht="15" hidden="false" customHeight="false" outlineLevel="0" collapsed="false">
      <c r="A18" s="1" t="n">
        <v>13</v>
      </c>
      <c r="B18" s="3" t="s">
        <v>60</v>
      </c>
      <c r="F18" s="1" t="n">
        <v>1</v>
      </c>
      <c r="I18" s="1" t="n">
        <v>1</v>
      </c>
    </row>
    <row r="19" customFormat="false" ht="15" hidden="false" customHeight="false" outlineLevel="0" collapsed="false">
      <c r="A19" s="1" t="n">
        <v>14</v>
      </c>
      <c r="B19" s="3" t="s">
        <v>63</v>
      </c>
      <c r="F19" s="1" t="n">
        <v>1</v>
      </c>
      <c r="I19" s="1" t="n">
        <v>1</v>
      </c>
    </row>
    <row r="20" customFormat="false" ht="15" hidden="false" customHeight="false" outlineLevel="0" collapsed="false">
      <c r="A20" s="1" t="n">
        <v>15</v>
      </c>
      <c r="B20" s="3" t="s">
        <v>66</v>
      </c>
      <c r="C20" s="1" t="s">
        <v>66</v>
      </c>
      <c r="D20" s="1" t="s">
        <v>65</v>
      </c>
      <c r="E20" s="1" t="s">
        <v>647</v>
      </c>
      <c r="F20" s="1" t="n">
        <v>7</v>
      </c>
      <c r="I20" s="1" t="n">
        <v>7</v>
      </c>
    </row>
    <row r="21" customFormat="false" ht="15" hidden="false" customHeight="false" outlineLevel="0" collapsed="false">
      <c r="A21" s="1" t="n">
        <v>16</v>
      </c>
      <c r="B21" s="3" t="s">
        <v>69</v>
      </c>
      <c r="F21" s="1" t="n">
        <v>1</v>
      </c>
      <c r="I21" s="1" t="n">
        <v>1</v>
      </c>
    </row>
    <row r="22" customFormat="false" ht="15" hidden="false" customHeight="false" outlineLevel="0" collapsed="false">
      <c r="A22" s="1" t="n">
        <v>17</v>
      </c>
      <c r="B22" s="3" t="s">
        <v>72</v>
      </c>
      <c r="C22" s="1" t="s">
        <v>72</v>
      </c>
      <c r="D22" s="1" t="s">
        <v>71</v>
      </c>
      <c r="E22" s="1" t="s">
        <v>659</v>
      </c>
      <c r="F22" s="1" t="n">
        <v>7</v>
      </c>
      <c r="I22" s="1" t="n">
        <v>7</v>
      </c>
    </row>
    <row r="23" customFormat="false" ht="15" hidden="false" customHeight="false" outlineLevel="0" collapsed="false">
      <c r="A23" s="1" t="n">
        <v>18</v>
      </c>
      <c r="B23" s="3" t="s">
        <v>75</v>
      </c>
      <c r="C23" s="1" t="s">
        <v>75</v>
      </c>
      <c r="D23" s="1" t="s">
        <v>74</v>
      </c>
      <c r="E23" s="1" t="s">
        <v>396</v>
      </c>
      <c r="F23" s="1" t="n">
        <v>8</v>
      </c>
      <c r="I23" s="1" t="n">
        <v>8</v>
      </c>
    </row>
    <row r="24" customFormat="false" ht="15" hidden="false" customHeight="false" outlineLevel="0" collapsed="false">
      <c r="A24" s="1" t="n">
        <v>19</v>
      </c>
      <c r="B24" s="3" t="s">
        <v>78</v>
      </c>
      <c r="F24" s="1" t="n">
        <v>1</v>
      </c>
      <c r="I24" s="1" t="n">
        <v>1</v>
      </c>
    </row>
    <row r="25" customFormat="false" ht="15" hidden="false" customHeight="false" outlineLevel="0" collapsed="false">
      <c r="A25" s="1" t="n">
        <v>20</v>
      </c>
      <c r="B25" s="3" t="s">
        <v>81</v>
      </c>
      <c r="C25" s="1" t="s">
        <v>81</v>
      </c>
      <c r="D25" s="1" t="s">
        <v>80</v>
      </c>
      <c r="E25" s="1" t="s">
        <v>673</v>
      </c>
      <c r="F25" s="1" t="n">
        <v>8</v>
      </c>
      <c r="I25" s="1" t="n">
        <v>8</v>
      </c>
    </row>
    <row r="26" customFormat="false" ht="15" hidden="false" customHeight="false" outlineLevel="0" collapsed="false">
      <c r="A26" s="1" t="n">
        <v>21</v>
      </c>
      <c r="B26" s="3" t="s">
        <v>85</v>
      </c>
      <c r="C26" s="1" t="s">
        <v>85</v>
      </c>
      <c r="D26" s="1" t="s">
        <v>84</v>
      </c>
      <c r="E26" s="1" t="s">
        <v>674</v>
      </c>
      <c r="F26" s="1" t="n">
        <v>9</v>
      </c>
      <c r="I26" s="1" t="n">
        <v>9</v>
      </c>
    </row>
    <row r="27" customFormat="false" ht="15" hidden="false" customHeight="false" outlineLevel="0" collapsed="false">
      <c r="A27" s="1" t="n">
        <v>22</v>
      </c>
      <c r="B27" s="3" t="s">
        <v>88</v>
      </c>
      <c r="C27" s="1" t="s">
        <v>88</v>
      </c>
      <c r="D27" s="1" t="s">
        <v>87</v>
      </c>
      <c r="E27" s="1" t="s">
        <v>396</v>
      </c>
      <c r="F27" s="1" t="n">
        <v>9</v>
      </c>
      <c r="G27" s="1" t="n">
        <f aca="false">AVERAGE(F27:F29)</f>
        <v>9</v>
      </c>
      <c r="H27" s="1" t="n">
        <v>9</v>
      </c>
      <c r="I27" s="1" t="n">
        <f aca="false">ROUND(MAX(H27,G27),0)</f>
        <v>9</v>
      </c>
    </row>
    <row r="28" customFormat="false" ht="15" hidden="false" customHeight="false" outlineLevel="0" collapsed="false">
      <c r="C28" s="1" t="s">
        <v>88</v>
      </c>
      <c r="D28" s="1" t="s">
        <v>87</v>
      </c>
      <c r="E28" s="1" t="s">
        <v>675</v>
      </c>
      <c r="F28" s="1" t="n">
        <v>9</v>
      </c>
    </row>
    <row r="29" customFormat="false" ht="15" hidden="false" customHeight="false" outlineLevel="0" collapsed="false">
      <c r="C29" s="1" t="s">
        <v>88</v>
      </c>
      <c r="D29" s="1" t="s">
        <v>87</v>
      </c>
      <c r="E29" s="1" t="s">
        <v>481</v>
      </c>
      <c r="F29" s="1" t="n">
        <v>9</v>
      </c>
    </row>
    <row r="30" customFormat="false" ht="15" hidden="false" customHeight="false" outlineLevel="0" collapsed="false">
      <c r="A30" s="1" t="n">
        <v>23</v>
      </c>
      <c r="B30" s="3" t="s">
        <v>91</v>
      </c>
      <c r="C30" s="1" t="s">
        <v>91</v>
      </c>
      <c r="D30" s="1" t="s">
        <v>90</v>
      </c>
      <c r="E30" s="1" t="s">
        <v>269</v>
      </c>
      <c r="F30" s="1" t="n">
        <v>10</v>
      </c>
      <c r="G30" s="1" t="n">
        <f aca="false">AVERAGE(F30:F37)</f>
        <v>8.5</v>
      </c>
      <c r="H30" s="1" t="n">
        <v>9</v>
      </c>
      <c r="I30" s="1" t="n">
        <f aca="false">ROUND(MAX(H30,G30),0)</f>
        <v>9</v>
      </c>
    </row>
    <row r="31" customFormat="false" ht="15" hidden="false" customHeight="false" outlineLevel="0" collapsed="false">
      <c r="C31" s="1" t="s">
        <v>91</v>
      </c>
      <c r="D31" s="1" t="s">
        <v>90</v>
      </c>
      <c r="E31" s="1" t="s">
        <v>481</v>
      </c>
      <c r="F31" s="1" t="n">
        <v>10</v>
      </c>
    </row>
    <row r="32" customFormat="false" ht="15" hidden="false" customHeight="false" outlineLevel="0" collapsed="false">
      <c r="C32" s="1" t="s">
        <v>91</v>
      </c>
      <c r="D32" s="1" t="s">
        <v>90</v>
      </c>
      <c r="E32" s="1" t="s">
        <v>676</v>
      </c>
      <c r="F32" s="1" t="n">
        <v>10</v>
      </c>
    </row>
    <row r="33" customFormat="false" ht="15" hidden="false" customHeight="false" outlineLevel="0" collapsed="false">
      <c r="C33" s="1" t="s">
        <v>91</v>
      </c>
      <c r="D33" s="1" t="s">
        <v>90</v>
      </c>
      <c r="E33" s="1" t="s">
        <v>677</v>
      </c>
      <c r="F33" s="1" t="n">
        <v>9</v>
      </c>
    </row>
    <row r="34" customFormat="false" ht="15" hidden="false" customHeight="false" outlineLevel="0" collapsed="false">
      <c r="C34" s="1" t="s">
        <v>91</v>
      </c>
      <c r="D34" s="1" t="s">
        <v>90</v>
      </c>
      <c r="E34" s="1" t="s">
        <v>678</v>
      </c>
      <c r="F34" s="1" t="n">
        <v>9</v>
      </c>
    </row>
    <row r="35" customFormat="false" ht="15" hidden="false" customHeight="false" outlineLevel="0" collapsed="false">
      <c r="C35" s="1" t="s">
        <v>91</v>
      </c>
      <c r="D35" s="1" t="s">
        <v>90</v>
      </c>
      <c r="E35" s="1" t="s">
        <v>639</v>
      </c>
      <c r="F35" s="1" t="n">
        <v>8</v>
      </c>
    </row>
    <row r="36" customFormat="false" ht="15" hidden="false" customHeight="false" outlineLevel="0" collapsed="false">
      <c r="C36" s="1" t="s">
        <v>91</v>
      </c>
      <c r="D36" s="1" t="s">
        <v>90</v>
      </c>
      <c r="E36" s="1" t="s">
        <v>431</v>
      </c>
      <c r="F36" s="1" t="n">
        <v>6</v>
      </c>
    </row>
    <row r="37" customFormat="false" ht="15" hidden="false" customHeight="false" outlineLevel="0" collapsed="false">
      <c r="C37" s="1" t="s">
        <v>91</v>
      </c>
      <c r="D37" s="1" t="s">
        <v>90</v>
      </c>
      <c r="E37" s="1" t="s">
        <v>431</v>
      </c>
      <c r="F37" s="1" t="n">
        <v>6</v>
      </c>
    </row>
    <row r="38" customFormat="false" ht="15" hidden="false" customHeight="false" outlineLevel="0" collapsed="false">
      <c r="A38" s="1" t="n">
        <v>24</v>
      </c>
      <c r="B38" s="3" t="s">
        <v>94</v>
      </c>
      <c r="F38" s="1" t="n">
        <v>1</v>
      </c>
      <c r="I38" s="1" t="n">
        <v>1</v>
      </c>
    </row>
    <row r="39" customFormat="false" ht="15" hidden="false" customHeight="false" outlineLevel="0" collapsed="false">
      <c r="A39" s="1" t="n">
        <v>25</v>
      </c>
      <c r="B39" s="3" t="s">
        <v>97</v>
      </c>
      <c r="F39" s="1" t="n">
        <v>1</v>
      </c>
      <c r="I39" s="1" t="n">
        <v>1</v>
      </c>
    </row>
    <row r="40" customFormat="false" ht="15" hidden="false" customHeight="false" outlineLevel="0" collapsed="false">
      <c r="H40" s="1" t="s">
        <v>0</v>
      </c>
      <c r="I40" s="1" t="n">
        <f aca="false">COUNTIF(I2:I39,"&gt;0")</f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6076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2025-05-05T16:27:59Z</dcterms:created>
  <dc:creator/>
  <dc:description/>
  <dc:language>es-AR</dc:language>
  <cp:lastModifiedBy/>
  <dcterms:modified xsi:type="dcterms:W3CDTF">2025-12-11T12:26:55Z</dcterms:modified>
  <cp:revision>116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