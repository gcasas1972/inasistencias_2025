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istencia" sheetId="1" state="visible" r:id="rId3"/>
    <sheet name="notas" sheetId="2" state="visible" r:id="rId4"/>
    <sheet name="positivos" sheetId="3" state="visible" r:id="rId5"/>
    <sheet name="Resistencia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<sst xmlns="http://schemas.openxmlformats.org/spreadsheetml/2006/main" count="714" uniqueCount="151">
  <si>
    <t xml:space="preserve">nro</t>
  </si>
  <si>
    <t xml:space="preserve">Nombre</t>
  </si>
  <si>
    <t xml:space="preserve">Apellido(s)</t>
  </si>
  <si>
    <t xml:space="preserve">Dirección de correo</t>
  </si>
  <si>
    <t xml:space="preserve">obs</t>
  </si>
  <si>
    <t xml:space="preserve">30/98</t>
  </si>
  <si>
    <t xml:space="preserve">presentes</t>
  </si>
  <si>
    <t xml:space="preserve">medio</t>
  </si>
  <si>
    <t xml:space="preserve">tarde</t>
  </si>
  <si>
    <t xml:space="preserve">nota</t>
  </si>
  <si>
    <t xml:space="preserve">Lautaro Agustin</t>
  </si>
  <si>
    <t xml:space="preserve">Agasi</t>
  </si>
  <si>
    <t xml:space="preserve">lautyagasi808@gmail.com</t>
  </si>
  <si>
    <t xml:space="preserve">P</t>
  </si>
  <si>
    <t xml:space="preserve">A</t>
  </si>
  <si>
    <t xml:space="preserve">p</t>
  </si>
  <si>
    <t xml:space="preserve">Thaiel Omar</t>
  </si>
  <si>
    <t xml:space="preserve">ANGELES</t>
  </si>
  <si>
    <t xml:space="preserve">thaielomar44@gmail.com</t>
  </si>
  <si>
    <t xml:space="preserve">a</t>
  </si>
  <si>
    <t xml:space="preserve">Franco Tomas</t>
  </si>
  <si>
    <t xml:space="preserve">BARRERA</t>
  </si>
  <si>
    <t xml:space="preserve">48373431@gmail.com</t>
  </si>
  <si>
    <t xml:space="preserve">Julian Gabriel</t>
  </si>
  <si>
    <t xml:space="preserve">BATTAGLIA</t>
  </si>
  <si>
    <t xml:space="preserve">48702442@gmail.com</t>
  </si>
  <si>
    <t xml:space="preserve">M</t>
  </si>
  <si>
    <t xml:space="preserve">Tarde 15:30</t>
  </si>
  <si>
    <t xml:space="preserve">Rodrigo Jesus</t>
  </si>
  <si>
    <t xml:space="preserve">Bernal</t>
  </si>
  <si>
    <t xml:space="preserve">rodribernalel10@gmail.com</t>
  </si>
  <si>
    <t xml:space="preserve">Yoel Santiago</t>
  </si>
  <si>
    <t xml:space="preserve">Caballero</t>
  </si>
  <si>
    <t xml:space="preserve">yoecaballero@hotmail.com</t>
  </si>
  <si>
    <t xml:space="preserve">Hector Hernan</t>
  </si>
  <si>
    <t xml:space="preserve">CANCLINI</t>
  </si>
  <si>
    <t xml:space="preserve">canclinihector@gmail.com</t>
  </si>
  <si>
    <t xml:space="preserve">Martin Ezequiel</t>
  </si>
  <si>
    <t xml:space="preserve">Celestino</t>
  </si>
  <si>
    <t xml:space="preserve">martin.ezequiel.celestino@gmail.com</t>
  </si>
  <si>
    <t xml:space="preserve">Benjamin Matias</t>
  </si>
  <si>
    <t xml:space="preserve">CORNEJO</t>
  </si>
  <si>
    <t xml:space="preserve">benjamatias007@gmail.com</t>
  </si>
  <si>
    <t xml:space="preserve">Lucio</t>
  </si>
  <si>
    <t xml:space="preserve">DEL MASTRO</t>
  </si>
  <si>
    <t xml:space="preserve">47514980@gmail.com</t>
  </si>
  <si>
    <t xml:space="preserve">Tobias Nicolas</t>
  </si>
  <si>
    <t xml:space="preserve">DIAZ</t>
  </si>
  <si>
    <t xml:space="preserve">tobiasdiaz2008@gmail.com</t>
  </si>
  <si>
    <t xml:space="preserve">T</t>
  </si>
  <si>
    <t xml:space="preserve">Valentino Eduardo Javier</t>
  </si>
  <si>
    <t xml:space="preserve">FERNANDEZ</t>
  </si>
  <si>
    <t xml:space="preserve">valentinoel12@gmail.com</t>
  </si>
  <si>
    <t xml:space="preserve">Ariadna Uma</t>
  </si>
  <si>
    <t xml:space="preserve">FERRARI RUBINI</t>
  </si>
  <si>
    <t xml:space="preserve">48241663@gmail.com</t>
  </si>
  <si>
    <t xml:space="preserve">German Francisco</t>
  </si>
  <si>
    <t xml:space="preserve">GIRALDES MIRAVAL</t>
  </si>
  <si>
    <t xml:space="preserve">47866914@gmail.com</t>
  </si>
  <si>
    <t xml:space="preserve">Julian uziel</t>
  </si>
  <si>
    <t xml:space="preserve">GONZALEZ</t>
  </si>
  <si>
    <t xml:space="preserve">48847759@gmail.com</t>
  </si>
  <si>
    <t xml:space="preserve">VALENTIN</t>
  </si>
  <si>
    <t xml:space="preserve">GUERRA</t>
  </si>
  <si>
    <t xml:space="preserve">valengamer07@outlook.com</t>
  </si>
  <si>
    <t xml:space="preserve">Joaquín</t>
  </si>
  <si>
    <t xml:space="preserve">HERRERA</t>
  </si>
  <si>
    <t xml:space="preserve">joaquinsimonherrera@gmail.com</t>
  </si>
  <si>
    <t xml:space="preserve">Lucas Sebastian</t>
  </si>
  <si>
    <t xml:space="preserve">Muñoz</t>
  </si>
  <si>
    <t xml:space="preserve">47171973@gmail.com</t>
  </si>
  <si>
    <t xml:space="preserve">Thomas Adrián</t>
  </si>
  <si>
    <t xml:space="preserve">Peter</t>
  </si>
  <si>
    <t xml:space="preserve">thominahi@gmail.com</t>
  </si>
  <si>
    <t xml:space="preserve">Carlos Miguel</t>
  </si>
  <si>
    <t xml:space="preserve">Rivero Montesino</t>
  </si>
  <si>
    <t xml:space="preserve">carlomontes06@gmail.com</t>
  </si>
  <si>
    <t xml:space="preserve">Se retira 18:00</t>
  </si>
  <si>
    <t xml:space="preserve">Ignacio</t>
  </si>
  <si>
    <t xml:space="preserve">Rojas</t>
  </si>
  <si>
    <t xml:space="preserve">nachoenzorojas@gmail.com</t>
  </si>
  <si>
    <t xml:space="preserve">Franco Emanuel</t>
  </si>
  <si>
    <t xml:space="preserve">SALINA</t>
  </si>
  <si>
    <t xml:space="preserve">francopuma2000@gmail.com</t>
  </si>
  <si>
    <t xml:space="preserve">Maia Zoel</t>
  </si>
  <si>
    <t xml:space="preserve">SOSA ARCE</t>
  </si>
  <si>
    <t xml:space="preserve">48110972@gmail.com</t>
  </si>
  <si>
    <t xml:space="preserve">a partir de las 18:00 hs</t>
  </si>
  <si>
    <t xml:space="preserve">Carlos Leonel</t>
  </si>
  <si>
    <t xml:space="preserve">TRINIDAD SANABRIA</t>
  </si>
  <si>
    <t xml:space="preserve">48183416@gmail.com</t>
  </si>
  <si>
    <t xml:space="preserve">Santiago Osmar</t>
  </si>
  <si>
    <t xml:space="preserve">VEGA</t>
  </si>
  <si>
    <t xml:space="preserve">megustaelpene@gmail.com</t>
  </si>
  <si>
    <t xml:space="preserve">Luciano Emanuel</t>
  </si>
  <si>
    <t xml:space="preserve">Velásquez</t>
  </si>
  <si>
    <t xml:space="preserve">lucianovel31@gmail.com</t>
  </si>
  <si>
    <t xml:space="preserve">medio tarde</t>
  </si>
  <si>
    <t xml:space="preserve">tarde </t>
  </si>
  <si>
    <t xml:space="preserve">total</t>
  </si>
  <si>
    <t xml:space="preserve">1er cuat</t>
  </si>
  <si>
    <t xml:space="preserve">2do cuat</t>
  </si>
  <si>
    <t xml:space="preserve">tipos de error</t>
  </si>
  <si>
    <t xml:space="preserve">Arinc 429</t>
  </si>
  <si>
    <t xml:space="preserve">trabajo a averiguar</t>
  </si>
  <si>
    <t xml:space="preserve">promedio</t>
  </si>
  <si>
    <t xml:space="preserve">valoracion</t>
  </si>
  <si>
    <t xml:space="preserve">Resistencias</t>
  </si>
  <si>
    <t xml:space="preserve">Asistencia</t>
  </si>
  <si>
    <t xml:space="preserve">positivos</t>
  </si>
  <si>
    <t xml:space="preserve">Asis+pos</t>
  </si>
  <si>
    <t xml:space="preserve">Grupo</t>
  </si>
  <si>
    <t xml:space="preserve">2-Mediicion de L</t>
  </si>
  <si>
    <t xml:space="preserve">6- conectoresgrimpiado</t>
  </si>
  <si>
    <t xml:space="preserve">1- investigacion equipos</t>
  </si>
  <si>
    <t xml:space="preserve">asistencia</t>
  </si>
  <si>
    <t xml:space="preserve">asis+pos</t>
  </si>
  <si>
    <t xml:space="preserve">final</t>
  </si>
  <si>
    <t xml:space="preserve">2- lineas de transmision</t>
  </si>
  <si>
    <t xml:space="preserve">G4</t>
  </si>
  <si>
    <t xml:space="preserve">G2</t>
  </si>
  <si>
    <t xml:space="preserve">G5</t>
  </si>
  <si>
    <t xml:space="preserve">entrego pasos con retraso</t>
  </si>
  <si>
    <t xml:space="preserve">G1</t>
  </si>
  <si>
    <t xml:space="preserve">G3</t>
  </si>
  <si>
    <t xml:space="preserve">no entrego los pasos</t>
  </si>
  <si>
    <t xml:space="preserve">flux valve</t>
  </si>
  <si>
    <t xml:space="preserve">medicion de capacidad</t>
  </si>
  <si>
    <t xml:space="preserve">posiivos</t>
  </si>
  <si>
    <t xml:space="preserve">Tiempo requerido</t>
  </si>
  <si>
    <t xml:space="preserve">Calificación/10,00</t>
  </si>
  <si>
    <t xml:space="preserve">14 minutos 40 segundos</t>
  </si>
  <si>
    <t xml:space="preserve">12 minutos 40 segundos</t>
  </si>
  <si>
    <t xml:space="preserve">11 minutos 22 segundos</t>
  </si>
  <si>
    <t xml:space="preserve">15 minutos</t>
  </si>
  <si>
    <t xml:space="preserve">15 minutos 1 segundos</t>
  </si>
  <si>
    <t xml:space="preserve">10 minutos 48 segundos</t>
  </si>
  <si>
    <t xml:space="preserve">10 minutos 50 segundos</t>
  </si>
  <si>
    <t xml:space="preserve">12 minutos</t>
  </si>
  <si>
    <t xml:space="preserve">14 minutos 45 segundos</t>
  </si>
  <si>
    <t xml:space="preserve">11 minutos 57 segundos</t>
  </si>
  <si>
    <t xml:space="preserve">12 minutos 24 segundos</t>
  </si>
  <si>
    <t xml:space="preserve">12 minutos 39 segundos</t>
  </si>
  <si>
    <t xml:space="preserve">5 minutos 23 segundos</t>
  </si>
  <si>
    <t xml:space="preserve">10 minutos 51 segundos</t>
  </si>
  <si>
    <t xml:space="preserve">14 minutos 41 segundos</t>
  </si>
  <si>
    <t xml:space="preserve">9 minutos 37 segundos</t>
  </si>
  <si>
    <t xml:space="preserve">14 minutos 25 segundos</t>
  </si>
  <si>
    <t xml:space="preserve">10 minutos 28 segundos</t>
  </si>
  <si>
    <t xml:space="preserve">11 minutos 48 segundos</t>
  </si>
  <si>
    <t xml:space="preserve">Luciano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</si>
</sst>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General"/>
    <numFmt numFmtId="167" formatCode="hh:mm:ss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4000"/>
        <bgColor rgb="FFCC0000"/>
      </patternFill>
    </fill>
    <fill>
      <patternFill patternType="solid">
        <fgColor rgb="FFFFC107"/>
        <bgColor rgb="FFFFBF00"/>
      </patternFill>
    </fill>
    <fill>
      <patternFill patternType="solid">
        <fgColor rgb="FFFFBF00"/>
        <bgColor rgb="FFFFC10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color rgb="FFCC0000"/>
        <sz val="12"/>
      </font>
    </dxf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107"/>
      <rgbColor rgb="FFFFBF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A3" activeCellId="1" sqref="P:P AA3"/>
    </sheetView>
  </sheetViews>
  <sheetFormatPr defaultColWidth="8.72265625" defaultRowHeight="15" zeroHeight="false" outlineLevelRow="0" outlineLevelCol="0"/>
  <cols>
    <col collapsed="false" customWidth="true" hidden="false" outlineLevel="0" max="1" min="1" style="1" width="3.97"/>
    <col collapsed="false" customWidth="true" hidden="true" outlineLevel="0" max="2" min="2" style="1" width="21.98"/>
    <col collapsed="false" customWidth="true" hidden="false" outlineLevel="0" max="3" min="3" style="1" width="18.61"/>
    <col collapsed="false" customWidth="true" hidden="true" outlineLevel="0" max="4" min="4" style="1" width="33.13"/>
    <col collapsed="false" customWidth="false" hidden="true" outlineLevel="0" max="18" min="5" style="1" width="8.72"/>
    <col collapsed="false" customWidth="true" hidden="true" outlineLevel="0" max="19" min="19" style="1" width="13.7"/>
    <col collapsed="false" customWidth="false" hidden="true" outlineLevel="0" max="23" min="20" style="1" width="8.72"/>
  </cols>
  <sheetData>
    <row r="1" customFormat="false" ht="15" hidden="false" customHeight="false" outlineLevel="0" collapsed="false">
      <c r="B1" s="2"/>
      <c r="C1" s="2"/>
      <c r="D1" s="2"/>
      <c r="E1" s="3"/>
      <c r="G1" s="3"/>
      <c r="H1" s="3"/>
      <c r="I1" s="3"/>
      <c r="J1" s="3"/>
      <c r="K1" s="3"/>
      <c r="L1" s="3"/>
      <c r="N1" s="3"/>
      <c r="O1" s="3"/>
      <c r="P1" s="3"/>
      <c r="Q1" s="2"/>
      <c r="R1" s="3"/>
      <c r="S1" s="2"/>
      <c r="T1" s="3"/>
      <c r="U1" s="3"/>
      <c r="V1" s="3"/>
    </row>
    <row r="2" customFormat="false" ht="15" hidden="false" customHeight="false" outlineLevel="0" collapsed="false">
      <c r="A2" s="1" t="s">
        <v>0</v>
      </c>
      <c r="B2" s="2" t="s">
        <v>1</v>
      </c>
      <c r="C2" s="2" t="s">
        <v>2</v>
      </c>
      <c r="D2" s="2" t="s">
        <v>3</v>
      </c>
      <c r="E2" s="3" t="n">
        <v>45790</v>
      </c>
      <c r="F2" s="1" t="s">
        <v>4</v>
      </c>
      <c r="G2" s="3" t="n">
        <v>45818</v>
      </c>
      <c r="H2" s="3" t="n">
        <v>45895</v>
      </c>
      <c r="I2" s="3" t="n">
        <v>45902</v>
      </c>
      <c r="J2" s="3" t="n">
        <v>45878</v>
      </c>
      <c r="K2" s="3" t="n">
        <v>45916</v>
      </c>
      <c r="L2" s="3" t="n">
        <v>45923</v>
      </c>
      <c r="M2" s="1" t="s">
        <v>5</v>
      </c>
      <c r="N2" s="3" t="n">
        <v>45944</v>
      </c>
      <c r="O2" s="3" t="n">
        <v>45951</v>
      </c>
      <c r="P2" s="3" t="n">
        <v>45958</v>
      </c>
      <c r="Q2" s="2" t="s">
        <v>4</v>
      </c>
      <c r="R2" s="3" t="n">
        <v>45965</v>
      </c>
      <c r="S2" s="2" t="s">
        <v>4</v>
      </c>
      <c r="T2" s="3" t="n">
        <v>45972</v>
      </c>
      <c r="U2" s="3" t="n">
        <v>45979</v>
      </c>
      <c r="V2" s="3" t="n">
        <v>45986</v>
      </c>
      <c r="W2" s="1" t="s">
        <v>4</v>
      </c>
      <c r="X2" s="2" t="s">
        <v>6</v>
      </c>
      <c r="Y2" s="2" t="s">
        <v>7</v>
      </c>
      <c r="Z2" s="2" t="s">
        <v>8</v>
      </c>
      <c r="AA2" s="2" t="s">
        <v>9</v>
      </c>
    </row>
    <row r="3" customFormat="false" ht="15" hidden="false" customHeight="false" outlineLevel="0" collapsed="false">
      <c r="A3" s="1" t="n">
        <v>1</v>
      </c>
      <c r="B3" s="2" t="s">
        <v>10</v>
      </c>
      <c r="C3" s="2" t="s">
        <v>11</v>
      </c>
      <c r="D3" s="2" t="s">
        <v>12</v>
      </c>
      <c r="E3" s="1" t="s">
        <v>13</v>
      </c>
      <c r="G3" s="1" t="s">
        <v>13</v>
      </c>
      <c r="H3" s="1" t="s">
        <v>14</v>
      </c>
      <c r="I3" s="1" t="s">
        <v>14</v>
      </c>
      <c r="J3" s="1" t="s">
        <v>13</v>
      </c>
      <c r="K3" s="1" t="s">
        <v>13</v>
      </c>
      <c r="L3" s="1" t="s">
        <v>13</v>
      </c>
      <c r="M3" s="1" t="s">
        <v>13</v>
      </c>
      <c r="N3" s="2" t="s">
        <v>13</v>
      </c>
      <c r="O3" s="2" t="s">
        <v>14</v>
      </c>
      <c r="P3" s="2" t="s">
        <v>13</v>
      </c>
      <c r="R3" s="2" t="s">
        <v>14</v>
      </c>
      <c r="T3" s="2" t="s">
        <v>13</v>
      </c>
      <c r="U3" s="2" t="s">
        <v>15</v>
      </c>
      <c r="V3" s="2" t="s">
        <v>14</v>
      </c>
      <c r="X3" s="2" t="n">
        <f aca="false">COUNTIF(E3:V3,"P")</f>
        <v>10</v>
      </c>
      <c r="Y3" s="2" t="n">
        <f aca="false">COUNTIF(E3:V3,"M")</f>
        <v>0</v>
      </c>
      <c r="Z3" s="2" t="n">
        <f aca="false">COUNTIF(E3:V3,"T")</f>
        <v>0</v>
      </c>
      <c r="AA3" s="4" t="n">
        <f aca="false">ROUND((X3+Y3/2+Z3/4)*10/15,0)</f>
        <v>7</v>
      </c>
    </row>
    <row r="4" customFormat="false" ht="15" hidden="false" customHeight="false" outlineLevel="0" collapsed="false">
      <c r="A4" s="1" t="n">
        <v>2</v>
      </c>
      <c r="B4" s="2" t="s">
        <v>16</v>
      </c>
      <c r="C4" s="2" t="s">
        <v>17</v>
      </c>
      <c r="D4" s="2" t="s">
        <v>18</v>
      </c>
      <c r="E4" s="1" t="s">
        <v>14</v>
      </c>
      <c r="G4" s="1" t="s">
        <v>13</v>
      </c>
      <c r="H4" s="1" t="s">
        <v>13</v>
      </c>
      <c r="I4" s="1" t="s">
        <v>19</v>
      </c>
      <c r="J4" s="1" t="s">
        <v>13</v>
      </c>
      <c r="K4" s="1" t="s">
        <v>13</v>
      </c>
      <c r="L4" s="1" t="s">
        <v>13</v>
      </c>
      <c r="M4" s="1" t="s">
        <v>13</v>
      </c>
      <c r="N4" s="2" t="s">
        <v>13</v>
      </c>
      <c r="O4" s="2" t="s">
        <v>13</v>
      </c>
      <c r="P4" s="2" t="s">
        <v>13</v>
      </c>
      <c r="R4" s="2" t="s">
        <v>14</v>
      </c>
      <c r="T4" s="2" t="s">
        <v>13</v>
      </c>
      <c r="U4" s="2" t="s">
        <v>13</v>
      </c>
      <c r="V4" s="2" t="s">
        <v>13</v>
      </c>
      <c r="X4" s="2" t="n">
        <f aca="false">COUNTIF(E4:V4,"P")</f>
        <v>12</v>
      </c>
      <c r="Y4" s="2" t="n">
        <f aca="false">COUNTIF(E4:V4,"M")</f>
        <v>0</v>
      </c>
      <c r="Z4" s="2" t="n">
        <f aca="false">COUNTIF(E4:V4,"T")</f>
        <v>0</v>
      </c>
      <c r="AA4" s="4" t="n">
        <f aca="false">ROUND((X4+Y4/2+Z4/4)*10/15,0)</f>
        <v>8</v>
      </c>
    </row>
    <row r="5" customFormat="false" ht="15" hidden="false" customHeight="false" outlineLevel="0" collapsed="false">
      <c r="A5" s="1" t="n">
        <v>3</v>
      </c>
      <c r="B5" s="2" t="s">
        <v>20</v>
      </c>
      <c r="C5" s="2" t="s">
        <v>21</v>
      </c>
      <c r="D5" s="2" t="s">
        <v>22</v>
      </c>
      <c r="E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  <c r="M5" s="1" t="s">
        <v>13</v>
      </c>
      <c r="N5" s="2" t="s">
        <v>13</v>
      </c>
      <c r="O5" s="2" t="s">
        <v>14</v>
      </c>
      <c r="P5" s="2" t="s">
        <v>13</v>
      </c>
      <c r="R5" s="2" t="s">
        <v>13</v>
      </c>
      <c r="T5" s="2" t="s">
        <v>13</v>
      </c>
      <c r="U5" s="2" t="s">
        <v>13</v>
      </c>
      <c r="V5" s="2" t="s">
        <v>13</v>
      </c>
      <c r="X5" s="2" t="n">
        <f aca="false">COUNTIF(E5:V5,"P")</f>
        <v>14</v>
      </c>
      <c r="Y5" s="2" t="n">
        <f aca="false">COUNTIF(E5:V5,"M")</f>
        <v>0</v>
      </c>
      <c r="Z5" s="2" t="n">
        <f aca="false">COUNTIF(E5:V5,"T")</f>
        <v>0</v>
      </c>
      <c r="AA5" s="4" t="n">
        <f aca="false">ROUND((X5+Y5/2+Z5/4)*10/15,0)</f>
        <v>9</v>
      </c>
    </row>
    <row r="6" customFormat="false" ht="15" hidden="false" customHeight="false" outlineLevel="0" collapsed="false">
      <c r="A6" s="1" t="n">
        <v>4</v>
      </c>
      <c r="B6" s="2" t="s">
        <v>23</v>
      </c>
      <c r="C6" s="2" t="s">
        <v>24</v>
      </c>
      <c r="D6" s="2" t="s">
        <v>25</v>
      </c>
      <c r="E6" s="1" t="s">
        <v>26</v>
      </c>
      <c r="F6" s="1" t="s">
        <v>27</v>
      </c>
      <c r="G6" s="1" t="s">
        <v>14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  <c r="M6" s="1" t="s">
        <v>13</v>
      </c>
      <c r="N6" s="2" t="s">
        <v>13</v>
      </c>
      <c r="O6" s="2" t="s">
        <v>14</v>
      </c>
      <c r="P6" s="2" t="s">
        <v>13</v>
      </c>
      <c r="R6" s="2" t="s">
        <v>14</v>
      </c>
      <c r="T6" s="2" t="s">
        <v>13</v>
      </c>
      <c r="U6" s="2" t="s">
        <v>13</v>
      </c>
      <c r="V6" s="2" t="s">
        <v>13</v>
      </c>
      <c r="X6" s="2" t="n">
        <f aca="false">COUNTIF(E6:V6,"P")</f>
        <v>11</v>
      </c>
      <c r="Y6" s="2" t="n">
        <f aca="false">COUNTIF(E6:V6,"M")</f>
        <v>1</v>
      </c>
      <c r="Z6" s="2" t="n">
        <f aca="false">COUNTIF(E6:V6,"T")</f>
        <v>0</v>
      </c>
      <c r="AA6" s="4" t="n">
        <f aca="false">ROUND((X6+Y6/2+Z6/4)*10/15,0)</f>
        <v>8</v>
      </c>
    </row>
    <row r="7" customFormat="false" ht="15" hidden="false" customHeight="false" outlineLevel="0" collapsed="false">
      <c r="A7" s="1" t="n">
        <v>5</v>
      </c>
      <c r="B7" s="2" t="s">
        <v>28</v>
      </c>
      <c r="C7" s="2" t="s">
        <v>29</v>
      </c>
      <c r="D7" s="2" t="s">
        <v>30</v>
      </c>
      <c r="E7" s="1" t="s">
        <v>13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  <c r="M7" s="1" t="s">
        <v>13</v>
      </c>
      <c r="N7" s="2" t="s">
        <v>13</v>
      </c>
      <c r="O7" s="2" t="s">
        <v>13</v>
      </c>
      <c r="P7" s="2" t="s">
        <v>13</v>
      </c>
      <c r="R7" s="2" t="s">
        <v>13</v>
      </c>
      <c r="T7" s="2" t="s">
        <v>14</v>
      </c>
      <c r="U7" s="2" t="s">
        <v>13</v>
      </c>
      <c r="V7" s="2" t="s">
        <v>13</v>
      </c>
      <c r="X7" s="2" t="n">
        <f aca="false">COUNTIF(E7:V7,"P")</f>
        <v>14</v>
      </c>
      <c r="Y7" s="2" t="n">
        <f aca="false">COUNTIF(E7:V7,"M")</f>
        <v>0</v>
      </c>
      <c r="Z7" s="2" t="n">
        <f aca="false">COUNTIF(E7:V7,"T")</f>
        <v>0</v>
      </c>
      <c r="AA7" s="4" t="n">
        <f aca="false">ROUND((X7+Y7/2+Z7/4)*10/15,0)</f>
        <v>9</v>
      </c>
    </row>
    <row r="8" customFormat="false" ht="15" hidden="false" customHeight="false" outlineLevel="0" collapsed="false">
      <c r="A8" s="1" t="n">
        <v>6</v>
      </c>
      <c r="B8" s="2" t="s">
        <v>31</v>
      </c>
      <c r="C8" s="2" t="s">
        <v>32</v>
      </c>
      <c r="D8" s="2" t="s">
        <v>33</v>
      </c>
      <c r="E8" s="1" t="s">
        <v>14</v>
      </c>
      <c r="G8" s="1" t="s">
        <v>14</v>
      </c>
      <c r="H8" s="1" t="s">
        <v>13</v>
      </c>
      <c r="I8" s="1" t="s">
        <v>13</v>
      </c>
      <c r="J8" s="1" t="s">
        <v>14</v>
      </c>
      <c r="K8" s="1" t="s">
        <v>13</v>
      </c>
      <c r="L8" s="1" t="s">
        <v>14</v>
      </c>
      <c r="M8" s="1" t="s">
        <v>13</v>
      </c>
      <c r="N8" s="2" t="s">
        <v>14</v>
      </c>
      <c r="O8" s="2" t="s">
        <v>13</v>
      </c>
      <c r="P8" s="2" t="s">
        <v>14</v>
      </c>
      <c r="R8" s="2" t="s">
        <v>14</v>
      </c>
      <c r="T8" s="2" t="s">
        <v>13</v>
      </c>
      <c r="U8" s="2" t="s">
        <v>13</v>
      </c>
      <c r="V8" s="2" t="s">
        <v>14</v>
      </c>
      <c r="X8" s="2" t="n">
        <f aca="false">COUNTIF(E8:V8,"P")</f>
        <v>7</v>
      </c>
      <c r="Y8" s="2" t="n">
        <f aca="false">COUNTIF(E8:V8,"M")</f>
        <v>0</v>
      </c>
      <c r="Z8" s="2" t="n">
        <f aca="false">COUNTIF(E8:V8,"T")</f>
        <v>0</v>
      </c>
      <c r="AA8" s="4" t="n">
        <f aca="false">ROUND((X8+Y8/2+Z8/4)*10/15,0)</f>
        <v>5</v>
      </c>
    </row>
    <row r="9" customFormat="false" ht="15" hidden="false" customHeight="false" outlineLevel="0" collapsed="false">
      <c r="A9" s="1" t="n">
        <v>7</v>
      </c>
      <c r="B9" s="2" t="s">
        <v>34</v>
      </c>
      <c r="C9" s="2" t="s">
        <v>35</v>
      </c>
      <c r="D9" s="2" t="s">
        <v>36</v>
      </c>
      <c r="E9" s="1" t="s">
        <v>13</v>
      </c>
      <c r="G9" s="1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  <c r="M9" s="1" t="s">
        <v>13</v>
      </c>
      <c r="N9" s="2" t="s">
        <v>13</v>
      </c>
      <c r="O9" s="2" t="s">
        <v>13</v>
      </c>
      <c r="P9" s="2" t="s">
        <v>13</v>
      </c>
      <c r="R9" s="2" t="s">
        <v>14</v>
      </c>
      <c r="T9" s="2" t="s">
        <v>13</v>
      </c>
      <c r="U9" s="2" t="s">
        <v>13</v>
      </c>
      <c r="V9" s="2" t="s">
        <v>13</v>
      </c>
      <c r="X9" s="2" t="n">
        <f aca="false">COUNTIF(E9:V9,"P")</f>
        <v>14</v>
      </c>
      <c r="Y9" s="2" t="n">
        <f aca="false">COUNTIF(E9:V9,"M")</f>
        <v>0</v>
      </c>
      <c r="Z9" s="2" t="n">
        <f aca="false">COUNTIF(E9:V9,"T")</f>
        <v>0</v>
      </c>
      <c r="AA9" s="4" t="n">
        <f aca="false">ROUND((X9+Y9/2+Z9/4)*10/15,0)</f>
        <v>9</v>
      </c>
    </row>
    <row r="10" customFormat="false" ht="15" hidden="false" customHeight="false" outlineLevel="0" collapsed="false">
      <c r="A10" s="1" t="n">
        <v>8</v>
      </c>
      <c r="B10" s="2" t="s">
        <v>37</v>
      </c>
      <c r="C10" s="2" t="s">
        <v>38</v>
      </c>
      <c r="D10" s="2" t="s">
        <v>39</v>
      </c>
      <c r="E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  <c r="M10" s="1" t="s">
        <v>13</v>
      </c>
      <c r="N10" s="2" t="s">
        <v>13</v>
      </c>
      <c r="O10" s="2" t="s">
        <v>13</v>
      </c>
      <c r="P10" s="2" t="s">
        <v>13</v>
      </c>
      <c r="R10" s="2" t="s">
        <v>14</v>
      </c>
      <c r="T10" s="2" t="s">
        <v>13</v>
      </c>
      <c r="U10" s="2" t="s">
        <v>13</v>
      </c>
      <c r="V10" s="2" t="s">
        <v>13</v>
      </c>
      <c r="X10" s="2" t="n">
        <f aca="false">COUNTIF(E10:V10,"P")</f>
        <v>14</v>
      </c>
      <c r="Y10" s="2" t="n">
        <f aca="false">COUNTIF(E10:V10,"M")</f>
        <v>0</v>
      </c>
      <c r="Z10" s="2" t="n">
        <f aca="false">COUNTIF(E10:V10,"T")</f>
        <v>0</v>
      </c>
      <c r="AA10" s="4" t="n">
        <f aca="false">ROUND((X10+Y10/2+Z10/4)*10/15,0)</f>
        <v>9</v>
      </c>
    </row>
    <row r="11" customFormat="false" ht="15" hidden="false" customHeight="false" outlineLevel="0" collapsed="false">
      <c r="A11" s="1" t="n">
        <v>9</v>
      </c>
      <c r="B11" s="2" t="s">
        <v>40</v>
      </c>
      <c r="C11" s="2" t="s">
        <v>41</v>
      </c>
      <c r="D11" s="2" t="s">
        <v>42</v>
      </c>
      <c r="E11" s="1" t="s">
        <v>13</v>
      </c>
      <c r="G11" s="1" t="s">
        <v>13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  <c r="M11" s="1" t="s">
        <v>13</v>
      </c>
      <c r="N11" s="2" t="s">
        <v>13</v>
      </c>
      <c r="O11" s="2" t="s">
        <v>13</v>
      </c>
      <c r="P11" s="2" t="s">
        <v>13</v>
      </c>
      <c r="R11" s="2" t="s">
        <v>14</v>
      </c>
      <c r="T11" s="2" t="s">
        <v>13</v>
      </c>
      <c r="U11" s="2" t="s">
        <v>13</v>
      </c>
      <c r="V11" s="2" t="s">
        <v>13</v>
      </c>
      <c r="X11" s="2" t="n">
        <f aca="false">COUNTIF(E11:V11,"P")</f>
        <v>14</v>
      </c>
      <c r="Y11" s="2" t="n">
        <f aca="false">COUNTIF(E11:V11,"M")</f>
        <v>0</v>
      </c>
      <c r="Z11" s="2" t="n">
        <f aca="false">COUNTIF(E11:V11,"T")</f>
        <v>0</v>
      </c>
      <c r="AA11" s="4" t="n">
        <f aca="false">ROUND((X11+Y11/2+Z11/4)*10/15,0)</f>
        <v>9</v>
      </c>
    </row>
    <row r="12" customFormat="false" ht="15" hidden="false" customHeight="false" outlineLevel="0" collapsed="false">
      <c r="A12" s="1" t="n">
        <v>10</v>
      </c>
      <c r="B12" s="2" t="s">
        <v>43</v>
      </c>
      <c r="C12" s="2" t="s">
        <v>44</v>
      </c>
      <c r="D12" s="2" t="s">
        <v>45</v>
      </c>
      <c r="E12" s="1" t="s">
        <v>13</v>
      </c>
      <c r="G12" s="1" t="s">
        <v>13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  <c r="M12" s="1" t="s">
        <v>13</v>
      </c>
      <c r="N12" s="2" t="s">
        <v>13</v>
      </c>
      <c r="O12" s="2" t="s">
        <v>13</v>
      </c>
      <c r="P12" s="2" t="s">
        <v>13</v>
      </c>
      <c r="R12" s="2" t="s">
        <v>13</v>
      </c>
      <c r="T12" s="2" t="s">
        <v>13</v>
      </c>
      <c r="U12" s="2" t="s">
        <v>14</v>
      </c>
      <c r="V12" s="2" t="s">
        <v>14</v>
      </c>
      <c r="X12" s="2" t="n">
        <f aca="false">COUNTIF(E12:V12,"P")</f>
        <v>13</v>
      </c>
      <c r="Y12" s="2" t="n">
        <f aca="false">COUNTIF(E12:V12,"M")</f>
        <v>0</v>
      </c>
      <c r="Z12" s="2" t="n">
        <f aca="false">COUNTIF(E12:V12,"T")</f>
        <v>0</v>
      </c>
      <c r="AA12" s="4" t="n">
        <f aca="false">ROUND((X12+Y12/2+Z12/4)*10/15,0)</f>
        <v>9</v>
      </c>
    </row>
    <row r="13" customFormat="false" ht="15" hidden="false" customHeight="false" outlineLevel="0" collapsed="false">
      <c r="A13" s="1" t="n">
        <v>11</v>
      </c>
      <c r="B13" s="2" t="s">
        <v>46</v>
      </c>
      <c r="C13" s="2" t="s">
        <v>47</v>
      </c>
      <c r="D13" s="2" t="s">
        <v>48</v>
      </c>
      <c r="E13" s="1" t="s">
        <v>13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  <c r="M13" s="1" t="s">
        <v>13</v>
      </c>
      <c r="N13" s="2" t="s">
        <v>14</v>
      </c>
      <c r="O13" s="2" t="s">
        <v>13</v>
      </c>
      <c r="P13" s="2" t="s">
        <v>13</v>
      </c>
      <c r="R13" s="2" t="s">
        <v>14</v>
      </c>
      <c r="T13" s="2" t="s">
        <v>13</v>
      </c>
      <c r="U13" s="2" t="s">
        <v>13</v>
      </c>
      <c r="V13" s="2" t="s">
        <v>49</v>
      </c>
      <c r="W13" s="5" t="n">
        <v>0.666666666666667</v>
      </c>
      <c r="X13" s="2" t="n">
        <f aca="false">COUNTIF(E13:V13,"P")</f>
        <v>12</v>
      </c>
      <c r="Y13" s="2" t="n">
        <f aca="false">COUNTIF(E13:V13,"M")</f>
        <v>0</v>
      </c>
      <c r="Z13" s="2" t="n">
        <f aca="false">COUNTIF(E13:V13,"T")</f>
        <v>1</v>
      </c>
      <c r="AA13" s="4" t="n">
        <f aca="false">ROUND((X13+Y13/2+Z13/4)*10/15,0)</f>
        <v>8</v>
      </c>
    </row>
    <row r="14" customFormat="false" ht="15" hidden="false" customHeight="false" outlineLevel="0" collapsed="false">
      <c r="A14" s="1" t="n">
        <v>12</v>
      </c>
      <c r="B14" s="2" t="s">
        <v>50</v>
      </c>
      <c r="C14" s="2" t="s">
        <v>51</v>
      </c>
      <c r="D14" s="2" t="s">
        <v>52</v>
      </c>
      <c r="E14" s="1" t="s">
        <v>13</v>
      </c>
      <c r="G14" s="1" t="s">
        <v>13</v>
      </c>
      <c r="H14" s="1" t="s">
        <v>13</v>
      </c>
      <c r="I14" s="1" t="s">
        <v>14</v>
      </c>
      <c r="J14" s="1" t="s">
        <v>13</v>
      </c>
      <c r="K14" s="1" t="s">
        <v>14</v>
      </c>
      <c r="L14" s="1" t="s">
        <v>14</v>
      </c>
      <c r="M14" s="1" t="s">
        <v>13</v>
      </c>
      <c r="N14" s="2" t="s">
        <v>13</v>
      </c>
      <c r="O14" s="2" t="s">
        <v>14</v>
      </c>
      <c r="P14" s="2" t="s">
        <v>13</v>
      </c>
      <c r="R14" s="2" t="s">
        <v>13</v>
      </c>
      <c r="T14" s="2" t="s">
        <v>13</v>
      </c>
      <c r="U14" s="2" t="s">
        <v>13</v>
      </c>
      <c r="V14" s="2" t="s">
        <v>13</v>
      </c>
      <c r="X14" s="2" t="n">
        <f aca="false">COUNTIF(E14:V14,"P")</f>
        <v>11</v>
      </c>
      <c r="Y14" s="2" t="n">
        <f aca="false">COUNTIF(E14:V14,"M")</f>
        <v>0</v>
      </c>
      <c r="Z14" s="2" t="n">
        <f aca="false">COUNTIF(E14:V14,"T")</f>
        <v>0</v>
      </c>
      <c r="AA14" s="4" t="n">
        <f aca="false">ROUND((X14+Y14/2+Z14/4)*10/15,0)</f>
        <v>7</v>
      </c>
    </row>
    <row r="15" customFormat="false" ht="15" hidden="false" customHeight="false" outlineLevel="0" collapsed="false">
      <c r="A15" s="1" t="n">
        <v>13</v>
      </c>
      <c r="B15" s="2" t="s">
        <v>53</v>
      </c>
      <c r="C15" s="2" t="s">
        <v>54</v>
      </c>
      <c r="D15" s="2" t="s">
        <v>55</v>
      </c>
      <c r="E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  <c r="M15" s="1" t="s">
        <v>14</v>
      </c>
      <c r="N15" s="2" t="s">
        <v>13</v>
      </c>
      <c r="O15" s="2" t="s">
        <v>13</v>
      </c>
      <c r="P15" s="2" t="s">
        <v>13</v>
      </c>
      <c r="R15" s="2" t="s">
        <v>13</v>
      </c>
      <c r="T15" s="2" t="s">
        <v>13</v>
      </c>
      <c r="U15" s="2" t="s">
        <v>13</v>
      </c>
      <c r="V15" s="2" t="s">
        <v>13</v>
      </c>
      <c r="X15" s="2" t="n">
        <f aca="false">COUNTIF(E15:V15,"P")</f>
        <v>14</v>
      </c>
      <c r="Y15" s="2" t="n">
        <f aca="false">COUNTIF(E15:V15,"M")</f>
        <v>0</v>
      </c>
      <c r="Z15" s="2" t="n">
        <f aca="false">COUNTIF(E15:V15,"T")</f>
        <v>0</v>
      </c>
      <c r="AA15" s="4" t="n">
        <f aca="false">ROUND((X15+Y15/2+Z15/4)*10/15,0)</f>
        <v>9</v>
      </c>
    </row>
    <row r="16" customFormat="false" ht="15" hidden="false" customHeight="false" outlineLevel="0" collapsed="false">
      <c r="A16" s="1" t="n">
        <v>14</v>
      </c>
      <c r="B16" s="2" t="s">
        <v>56</v>
      </c>
      <c r="C16" s="2" t="s">
        <v>57</v>
      </c>
      <c r="D16" s="2" t="s">
        <v>58</v>
      </c>
      <c r="E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  <c r="M16" s="1" t="s">
        <v>13</v>
      </c>
      <c r="N16" s="2" t="s">
        <v>13</v>
      </c>
      <c r="O16" s="2" t="s">
        <v>13</v>
      </c>
      <c r="P16" s="2" t="s">
        <v>13</v>
      </c>
      <c r="R16" s="2" t="s">
        <v>14</v>
      </c>
      <c r="T16" s="2" t="s">
        <v>13</v>
      </c>
      <c r="U16" s="2" t="s">
        <v>14</v>
      </c>
      <c r="V16" s="2" t="s">
        <v>13</v>
      </c>
      <c r="X16" s="2" t="n">
        <f aca="false">COUNTIF(E16:V16,"P")</f>
        <v>13</v>
      </c>
      <c r="Y16" s="2" t="n">
        <f aca="false">COUNTIF(E16:V16,"M")</f>
        <v>0</v>
      </c>
      <c r="Z16" s="2" t="n">
        <f aca="false">COUNTIF(E16:V16,"T")</f>
        <v>0</v>
      </c>
      <c r="AA16" s="4" t="n">
        <f aca="false">ROUND((X16+Y16/2+Z16/4)*10/15,0)</f>
        <v>9</v>
      </c>
    </row>
    <row r="17" customFormat="false" ht="15" hidden="false" customHeight="false" outlineLevel="0" collapsed="false">
      <c r="A17" s="1" t="n">
        <v>15</v>
      </c>
      <c r="B17" s="2" t="s">
        <v>59</v>
      </c>
      <c r="C17" s="2" t="s">
        <v>60</v>
      </c>
      <c r="D17" s="2" t="s">
        <v>61</v>
      </c>
      <c r="E17" s="1" t="s">
        <v>13</v>
      </c>
      <c r="G17" s="1" t="s">
        <v>13</v>
      </c>
      <c r="H17" s="1" t="s">
        <v>14</v>
      </c>
      <c r="I17" s="1" t="s">
        <v>13</v>
      </c>
      <c r="J17" s="1" t="s">
        <v>13</v>
      </c>
      <c r="K17" s="1" t="s">
        <v>13</v>
      </c>
      <c r="L17" s="1" t="s">
        <v>13</v>
      </c>
      <c r="M17" s="1" t="s">
        <v>13</v>
      </c>
      <c r="N17" s="2" t="s">
        <v>13</v>
      </c>
      <c r="O17" s="2" t="s">
        <v>13</v>
      </c>
      <c r="P17" s="2" t="s">
        <v>14</v>
      </c>
      <c r="R17" s="2" t="s">
        <v>14</v>
      </c>
      <c r="T17" s="2" t="s">
        <v>13</v>
      </c>
      <c r="U17" s="2" t="s">
        <v>14</v>
      </c>
      <c r="V17" s="2" t="s">
        <v>13</v>
      </c>
      <c r="X17" s="2" t="n">
        <f aca="false">COUNTIF(E17:V17,"P")</f>
        <v>11</v>
      </c>
      <c r="Y17" s="2" t="n">
        <f aca="false">COUNTIF(E17:V17,"M")</f>
        <v>0</v>
      </c>
      <c r="Z17" s="2" t="n">
        <f aca="false">COUNTIF(E17:V17,"T")</f>
        <v>0</v>
      </c>
      <c r="AA17" s="4" t="n">
        <f aca="false">ROUND((X17+Y17/2+Z17/4)*10/15,0)</f>
        <v>7</v>
      </c>
    </row>
    <row r="18" customFormat="false" ht="15" hidden="false" customHeight="false" outlineLevel="0" collapsed="false">
      <c r="A18" s="1" t="n">
        <v>16</v>
      </c>
      <c r="B18" s="2" t="s">
        <v>62</v>
      </c>
      <c r="C18" s="2" t="s">
        <v>63</v>
      </c>
      <c r="D18" s="2" t="s">
        <v>64</v>
      </c>
      <c r="E18" s="1" t="s">
        <v>13</v>
      </c>
      <c r="G18" s="1" t="s">
        <v>13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  <c r="M18" s="1" t="s">
        <v>13</v>
      </c>
      <c r="N18" s="2" t="s">
        <v>13</v>
      </c>
      <c r="O18" s="2" t="s">
        <v>13</v>
      </c>
      <c r="P18" s="2" t="s">
        <v>13</v>
      </c>
      <c r="R18" s="2" t="s">
        <v>14</v>
      </c>
      <c r="T18" s="2" t="s">
        <v>13</v>
      </c>
      <c r="U18" s="2" t="s">
        <v>14</v>
      </c>
      <c r="V18" s="2" t="s">
        <v>13</v>
      </c>
      <c r="X18" s="2" t="n">
        <f aca="false">COUNTIF(E18:V18,"P")</f>
        <v>13</v>
      </c>
      <c r="Y18" s="2" t="n">
        <f aca="false">COUNTIF(E18:V18,"M")</f>
        <v>0</v>
      </c>
      <c r="Z18" s="2" t="n">
        <f aca="false">COUNTIF(E18:V18,"T")</f>
        <v>0</v>
      </c>
      <c r="AA18" s="4" t="n">
        <f aca="false">ROUND((X18+Y18/2+Z18/4)*10/15,0)</f>
        <v>9</v>
      </c>
    </row>
    <row r="19" customFormat="false" ht="15" hidden="false" customHeight="false" outlineLevel="0" collapsed="false">
      <c r="A19" s="1" t="n">
        <v>17</v>
      </c>
      <c r="B19" s="2" t="s">
        <v>65</v>
      </c>
      <c r="C19" s="2" t="s">
        <v>66</v>
      </c>
      <c r="D19" s="2" t="s">
        <v>67</v>
      </c>
      <c r="E19" s="1" t="s">
        <v>14</v>
      </c>
      <c r="G19" s="1" t="s">
        <v>14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  <c r="M19" s="1" t="s">
        <v>13</v>
      </c>
      <c r="N19" s="2" t="s">
        <v>13</v>
      </c>
      <c r="O19" s="2" t="s">
        <v>13</v>
      </c>
      <c r="P19" s="2" t="s">
        <v>13</v>
      </c>
      <c r="R19" s="2" t="s">
        <v>14</v>
      </c>
      <c r="T19" s="2" t="s">
        <v>13</v>
      </c>
      <c r="U19" s="2" t="s">
        <v>13</v>
      </c>
      <c r="V19" s="2" t="s">
        <v>13</v>
      </c>
      <c r="X19" s="2" t="n">
        <f aca="false">COUNTIF(E19:V19,"P")</f>
        <v>12</v>
      </c>
      <c r="Y19" s="2" t="n">
        <f aca="false">COUNTIF(E19:V19,"M")</f>
        <v>0</v>
      </c>
      <c r="Z19" s="2" t="n">
        <f aca="false">COUNTIF(E19:V19,"T")</f>
        <v>0</v>
      </c>
      <c r="AA19" s="4" t="n">
        <f aca="false">ROUND((X19+Y19/2+Z19/4)*10/15,0)</f>
        <v>8</v>
      </c>
    </row>
    <row r="20" customFormat="false" ht="15" hidden="false" customHeight="false" outlineLevel="0" collapsed="false">
      <c r="A20" s="1" t="n">
        <v>18</v>
      </c>
      <c r="B20" s="2" t="s">
        <v>68</v>
      </c>
      <c r="C20" s="2" t="s">
        <v>69</v>
      </c>
      <c r="D20" s="2" t="s">
        <v>70</v>
      </c>
      <c r="E20" s="1" t="s">
        <v>13</v>
      </c>
      <c r="G20" s="1" t="s">
        <v>13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13</v>
      </c>
      <c r="M20" s="1" t="s">
        <v>13</v>
      </c>
      <c r="N20" s="2" t="s">
        <v>13</v>
      </c>
      <c r="O20" s="2" t="s">
        <v>13</v>
      </c>
      <c r="P20" s="2" t="s">
        <v>13</v>
      </c>
      <c r="R20" s="2" t="s">
        <v>13</v>
      </c>
      <c r="T20" s="2" t="s">
        <v>13</v>
      </c>
      <c r="U20" s="2" t="s">
        <v>13</v>
      </c>
      <c r="V20" s="2" t="s">
        <v>13</v>
      </c>
      <c r="X20" s="2" t="n">
        <f aca="false">COUNTIF(E20:V20,"P")</f>
        <v>15</v>
      </c>
      <c r="Y20" s="2" t="n">
        <f aca="false">COUNTIF(E20:V20,"M")</f>
        <v>0</v>
      </c>
      <c r="Z20" s="2" t="n">
        <f aca="false">COUNTIF(E20:V20,"T")</f>
        <v>0</v>
      </c>
      <c r="AA20" s="4" t="n">
        <f aca="false">ROUND((X20+Y20/2+Z20/4)*10/15,0)</f>
        <v>10</v>
      </c>
    </row>
    <row r="21" customFormat="false" ht="15" hidden="false" customHeight="false" outlineLevel="0" collapsed="false">
      <c r="A21" s="1" t="n">
        <v>19</v>
      </c>
      <c r="B21" s="2" t="s">
        <v>71</v>
      </c>
      <c r="C21" s="2" t="s">
        <v>72</v>
      </c>
      <c r="D21" s="2" t="s">
        <v>73</v>
      </c>
      <c r="E21" s="1" t="s">
        <v>13</v>
      </c>
      <c r="G21" s="1" t="s">
        <v>13</v>
      </c>
      <c r="H21" s="1" t="s">
        <v>13</v>
      </c>
      <c r="I21" s="1" t="s">
        <v>13</v>
      </c>
      <c r="J21" s="1" t="s">
        <v>13</v>
      </c>
      <c r="K21" s="1" t="s">
        <v>13</v>
      </c>
      <c r="L21" s="1" t="s">
        <v>13</v>
      </c>
      <c r="M21" s="1" t="s">
        <v>13</v>
      </c>
      <c r="N21" s="2" t="s">
        <v>13</v>
      </c>
      <c r="O21" s="2" t="s">
        <v>13</v>
      </c>
      <c r="P21" s="2" t="s">
        <v>13</v>
      </c>
      <c r="R21" s="2" t="s">
        <v>13</v>
      </c>
      <c r="T21" s="2" t="s">
        <v>13</v>
      </c>
      <c r="U21" s="2" t="s">
        <v>13</v>
      </c>
      <c r="V21" s="2" t="s">
        <v>13</v>
      </c>
      <c r="X21" s="2" t="n">
        <f aca="false">COUNTIF(E21:V21,"P")</f>
        <v>15</v>
      </c>
      <c r="Y21" s="2" t="n">
        <f aca="false">COUNTIF(E21:V21,"M")</f>
        <v>0</v>
      </c>
      <c r="Z21" s="2" t="n">
        <f aca="false">COUNTIF(E21:V21,"T")</f>
        <v>0</v>
      </c>
      <c r="AA21" s="4" t="n">
        <f aca="false">ROUND((X21+Y21/2+Z21/4)*10/15,0)</f>
        <v>10</v>
      </c>
    </row>
    <row r="22" customFormat="false" ht="15" hidden="false" customHeight="false" outlineLevel="0" collapsed="false">
      <c r="A22" s="1" t="n">
        <v>20</v>
      </c>
      <c r="B22" s="2" t="s">
        <v>74</v>
      </c>
      <c r="C22" s="2" t="s">
        <v>75</v>
      </c>
      <c r="D22" s="2" t="s">
        <v>76</v>
      </c>
      <c r="E22" s="1" t="s">
        <v>13</v>
      </c>
      <c r="G22" s="1" t="s">
        <v>13</v>
      </c>
      <c r="H22" s="1" t="s">
        <v>13</v>
      </c>
      <c r="I22" s="1" t="s">
        <v>13</v>
      </c>
      <c r="J22" s="1" t="s">
        <v>13</v>
      </c>
      <c r="K22" s="1" t="s">
        <v>14</v>
      </c>
      <c r="L22" s="1" t="s">
        <v>13</v>
      </c>
      <c r="M22" s="1" t="s">
        <v>13</v>
      </c>
      <c r="N22" s="2" t="s">
        <v>14</v>
      </c>
      <c r="O22" s="2" t="s">
        <v>14</v>
      </c>
      <c r="P22" s="2" t="s">
        <v>13</v>
      </c>
      <c r="R22" s="2" t="s">
        <v>13</v>
      </c>
      <c r="S22" s="2" t="s">
        <v>77</v>
      </c>
      <c r="T22" s="2" t="s">
        <v>13</v>
      </c>
      <c r="U22" s="2" t="s">
        <v>13</v>
      </c>
      <c r="V22" s="2" t="s">
        <v>14</v>
      </c>
      <c r="X22" s="2" t="n">
        <f aca="false">COUNTIF(E22:V22,"P")</f>
        <v>11</v>
      </c>
      <c r="Y22" s="2" t="n">
        <f aca="false">COUNTIF(E22:V22,"M")</f>
        <v>0</v>
      </c>
      <c r="Z22" s="2" t="n">
        <f aca="false">COUNTIF(E22:V22,"T")</f>
        <v>0</v>
      </c>
      <c r="AA22" s="4" t="n">
        <f aca="false">ROUND((X22+Y22/2+Z22/4)*10/15,0)</f>
        <v>7</v>
      </c>
    </row>
    <row r="23" customFormat="false" ht="15" hidden="false" customHeight="false" outlineLevel="0" collapsed="false">
      <c r="A23" s="1" t="n">
        <v>21</v>
      </c>
      <c r="B23" s="2" t="s">
        <v>78</v>
      </c>
      <c r="C23" s="2" t="s">
        <v>79</v>
      </c>
      <c r="D23" s="2" t="s">
        <v>80</v>
      </c>
      <c r="E23" s="1" t="s">
        <v>13</v>
      </c>
      <c r="G23" s="1" t="s">
        <v>13</v>
      </c>
      <c r="H23" s="1" t="s">
        <v>13</v>
      </c>
      <c r="I23" s="1" t="s">
        <v>13</v>
      </c>
      <c r="J23" s="1" t="s">
        <v>13</v>
      </c>
      <c r="K23" s="1" t="s">
        <v>13</v>
      </c>
      <c r="L23" s="1" t="s">
        <v>13</v>
      </c>
      <c r="M23" s="1" t="s">
        <v>13</v>
      </c>
      <c r="N23" s="2" t="s">
        <v>13</v>
      </c>
      <c r="O23" s="2" t="s">
        <v>13</v>
      </c>
      <c r="P23" s="2" t="s">
        <v>13</v>
      </c>
      <c r="R23" s="2" t="s">
        <v>13</v>
      </c>
      <c r="T23" s="2" t="s">
        <v>13</v>
      </c>
      <c r="U23" s="2" t="s">
        <v>13</v>
      </c>
      <c r="V23" s="2" t="s">
        <v>13</v>
      </c>
      <c r="X23" s="2" t="n">
        <f aca="false">COUNTIF(E23:V23,"P")</f>
        <v>15</v>
      </c>
      <c r="Y23" s="2" t="n">
        <f aca="false">COUNTIF(E23:V23,"M")</f>
        <v>0</v>
      </c>
      <c r="Z23" s="2" t="n">
        <f aca="false">COUNTIF(E23:V23,"T")</f>
        <v>0</v>
      </c>
      <c r="AA23" s="4" t="n">
        <f aca="false">ROUND((X23+Y23/2+Z23/4)*10/15,0)</f>
        <v>10</v>
      </c>
    </row>
    <row r="24" customFormat="false" ht="15" hidden="false" customHeight="false" outlineLevel="0" collapsed="false">
      <c r="A24" s="1" t="n">
        <v>22</v>
      </c>
      <c r="B24" s="2" t="s">
        <v>81</v>
      </c>
      <c r="C24" s="2" t="s">
        <v>82</v>
      </c>
      <c r="D24" s="2" t="s">
        <v>83</v>
      </c>
      <c r="E24" s="1" t="s">
        <v>13</v>
      </c>
      <c r="G24" s="1" t="s">
        <v>13</v>
      </c>
      <c r="H24" s="1" t="s">
        <v>13</v>
      </c>
      <c r="I24" s="1" t="s">
        <v>13</v>
      </c>
      <c r="J24" s="1" t="s">
        <v>13</v>
      </c>
      <c r="K24" s="1" t="s">
        <v>13</v>
      </c>
      <c r="L24" s="1" t="s">
        <v>13</v>
      </c>
      <c r="M24" s="1" t="s">
        <v>13</v>
      </c>
      <c r="N24" s="2" t="s">
        <v>13</v>
      </c>
      <c r="O24" s="2" t="s">
        <v>13</v>
      </c>
      <c r="P24" s="2" t="s">
        <v>13</v>
      </c>
      <c r="R24" s="2" t="s">
        <v>14</v>
      </c>
      <c r="T24" s="2" t="s">
        <v>13</v>
      </c>
      <c r="U24" s="2" t="s">
        <v>14</v>
      </c>
      <c r="V24" s="2" t="s">
        <v>13</v>
      </c>
      <c r="X24" s="2" t="n">
        <f aca="false">COUNTIF(E24:V24,"P")</f>
        <v>13</v>
      </c>
      <c r="Y24" s="2" t="n">
        <f aca="false">COUNTIF(E24:V24,"M")</f>
        <v>0</v>
      </c>
      <c r="Z24" s="2" t="n">
        <f aca="false">COUNTIF(E24:V24,"T")</f>
        <v>0</v>
      </c>
      <c r="AA24" s="4" t="n">
        <f aca="false">ROUND((X24+Y24/2+Z24/4)*10/15,0)</f>
        <v>9</v>
      </c>
    </row>
    <row r="25" customFormat="false" ht="15" hidden="false" customHeight="false" outlineLevel="0" collapsed="false">
      <c r="A25" s="1" t="n">
        <v>23</v>
      </c>
      <c r="B25" s="2" t="s">
        <v>84</v>
      </c>
      <c r="C25" s="2" t="s">
        <v>85</v>
      </c>
      <c r="D25" s="2" t="s">
        <v>86</v>
      </c>
      <c r="E25" s="1" t="s">
        <v>13</v>
      </c>
      <c r="G25" s="1" t="s">
        <v>13</v>
      </c>
      <c r="H25" s="1" t="s">
        <v>13</v>
      </c>
      <c r="I25" s="1" t="s">
        <v>13</v>
      </c>
      <c r="J25" s="1" t="s">
        <v>13</v>
      </c>
      <c r="K25" s="1" t="s">
        <v>13</v>
      </c>
      <c r="L25" s="1" t="s">
        <v>13</v>
      </c>
      <c r="M25" s="1" t="s">
        <v>13</v>
      </c>
      <c r="N25" s="2" t="s">
        <v>13</v>
      </c>
      <c r="O25" s="2" t="s">
        <v>13</v>
      </c>
      <c r="P25" s="2" t="s">
        <v>13</v>
      </c>
      <c r="Q25" s="2" t="s">
        <v>87</v>
      </c>
      <c r="R25" s="2" t="s">
        <v>14</v>
      </c>
      <c r="T25" s="2" t="s">
        <v>13</v>
      </c>
      <c r="U25" s="2" t="s">
        <v>14</v>
      </c>
      <c r="V25" s="2" t="s">
        <v>13</v>
      </c>
      <c r="X25" s="2" t="n">
        <f aca="false">COUNTIF(E25:V25,"P")</f>
        <v>13</v>
      </c>
      <c r="Y25" s="2" t="n">
        <f aca="false">COUNTIF(E25:V25,"M")</f>
        <v>0</v>
      </c>
      <c r="Z25" s="2" t="n">
        <f aca="false">COUNTIF(E25:V25,"T")</f>
        <v>0</v>
      </c>
      <c r="AA25" s="4" t="n">
        <f aca="false">ROUND((X25+Y25/2+Z25/4)*10/15,0)</f>
        <v>9</v>
      </c>
    </row>
    <row r="26" customFormat="false" ht="15" hidden="false" customHeight="false" outlineLevel="0" collapsed="false">
      <c r="A26" s="1" t="n">
        <v>24</v>
      </c>
      <c r="B26" s="2" t="s">
        <v>88</v>
      </c>
      <c r="C26" s="2" t="s">
        <v>89</v>
      </c>
      <c r="D26" s="2" t="s">
        <v>90</v>
      </c>
      <c r="E26" s="1" t="s">
        <v>13</v>
      </c>
      <c r="G26" s="1" t="s">
        <v>13</v>
      </c>
      <c r="H26" s="1" t="s">
        <v>13</v>
      </c>
      <c r="I26" s="1" t="s">
        <v>13</v>
      </c>
      <c r="J26" s="1" t="s">
        <v>13</v>
      </c>
      <c r="K26" s="1" t="s">
        <v>14</v>
      </c>
      <c r="L26" s="1" t="s">
        <v>13</v>
      </c>
      <c r="M26" s="1" t="s">
        <v>13</v>
      </c>
      <c r="N26" s="2" t="s">
        <v>13</v>
      </c>
      <c r="O26" s="2" t="s">
        <v>13</v>
      </c>
      <c r="P26" s="2" t="s">
        <v>13</v>
      </c>
      <c r="R26" s="2" t="s">
        <v>13</v>
      </c>
      <c r="T26" s="2" t="s">
        <v>13</v>
      </c>
      <c r="U26" s="2" t="s">
        <v>13</v>
      </c>
      <c r="V26" s="2" t="s">
        <v>13</v>
      </c>
      <c r="X26" s="2" t="n">
        <f aca="false">COUNTIF(E26:V26,"P")</f>
        <v>14</v>
      </c>
      <c r="Y26" s="2" t="n">
        <f aca="false">COUNTIF(E26:V26,"M")</f>
        <v>0</v>
      </c>
      <c r="Z26" s="2" t="n">
        <f aca="false">COUNTIF(E26:V26,"T")</f>
        <v>0</v>
      </c>
      <c r="AA26" s="4" t="n">
        <f aca="false">ROUND((X26+Y26/2+Z26/4)*10/15,0)</f>
        <v>9</v>
      </c>
    </row>
    <row r="27" customFormat="false" ht="15" hidden="false" customHeight="false" outlineLevel="0" collapsed="false">
      <c r="A27" s="1" t="n">
        <v>25</v>
      </c>
      <c r="B27" s="2" t="s">
        <v>91</v>
      </c>
      <c r="C27" s="2" t="s">
        <v>92</v>
      </c>
      <c r="D27" s="2" t="s">
        <v>93</v>
      </c>
      <c r="E27" s="1" t="s">
        <v>13</v>
      </c>
      <c r="G27" s="1" t="s">
        <v>13</v>
      </c>
      <c r="H27" s="1" t="s">
        <v>13</v>
      </c>
      <c r="I27" s="1" t="s">
        <v>14</v>
      </c>
      <c r="J27" s="1" t="s">
        <v>13</v>
      </c>
      <c r="K27" s="1" t="s">
        <v>13</v>
      </c>
      <c r="L27" s="1" t="s">
        <v>13</v>
      </c>
      <c r="M27" s="1" t="s">
        <v>13</v>
      </c>
      <c r="N27" s="2" t="s">
        <v>13</v>
      </c>
      <c r="O27" s="2" t="s">
        <v>13</v>
      </c>
      <c r="P27" s="2" t="s">
        <v>13</v>
      </c>
      <c r="R27" s="2" t="s">
        <v>13</v>
      </c>
      <c r="T27" s="2" t="s">
        <v>13</v>
      </c>
      <c r="U27" s="2" t="s">
        <v>13</v>
      </c>
      <c r="V27" s="2" t="s">
        <v>13</v>
      </c>
      <c r="X27" s="2" t="n">
        <f aca="false">COUNTIF(E27:V27,"P")</f>
        <v>14</v>
      </c>
      <c r="Y27" s="2" t="n">
        <f aca="false">COUNTIF(E27:V27,"M")</f>
        <v>0</v>
      </c>
      <c r="Z27" s="2" t="n">
        <f aca="false">COUNTIF(E27:V27,"T")</f>
        <v>0</v>
      </c>
      <c r="AA27" s="4" t="n">
        <f aca="false">ROUND((X27+Y27/2+Z27/4)*10/15,0)</f>
        <v>9</v>
      </c>
    </row>
    <row r="28" customFormat="false" ht="15" hidden="false" customHeight="false" outlineLevel="0" collapsed="false">
      <c r="A28" s="1" t="n">
        <v>26</v>
      </c>
      <c r="B28" s="2" t="s">
        <v>94</v>
      </c>
      <c r="C28" s="2" t="s">
        <v>95</v>
      </c>
      <c r="D28" s="2" t="s">
        <v>96</v>
      </c>
      <c r="E28" s="1" t="s">
        <v>14</v>
      </c>
      <c r="G28" s="1" t="s">
        <v>13</v>
      </c>
      <c r="H28" s="1" t="s">
        <v>13</v>
      </c>
      <c r="I28" s="1" t="s">
        <v>13</v>
      </c>
      <c r="J28" s="1" t="s">
        <v>13</v>
      </c>
      <c r="K28" s="1" t="s">
        <v>13</v>
      </c>
      <c r="L28" s="1" t="s">
        <v>13</v>
      </c>
      <c r="M28" s="1" t="s">
        <v>13</v>
      </c>
      <c r="N28" s="2" t="s">
        <v>13</v>
      </c>
      <c r="O28" s="2" t="s">
        <v>13</v>
      </c>
      <c r="P28" s="2" t="s">
        <v>13</v>
      </c>
      <c r="R28" s="2" t="s">
        <v>14</v>
      </c>
      <c r="T28" s="2" t="s">
        <v>26</v>
      </c>
      <c r="U28" s="2" t="s">
        <v>14</v>
      </c>
      <c r="V28" s="2" t="s">
        <v>13</v>
      </c>
      <c r="X28" s="2" t="n">
        <f aca="false">COUNTIF(E28:V28,"P")</f>
        <v>11</v>
      </c>
      <c r="Y28" s="2" t="n">
        <f aca="false">COUNTIF(E28:V28,"M")</f>
        <v>1</v>
      </c>
      <c r="Z28" s="2" t="n">
        <f aca="false">COUNTIF(E28:V28,"T")</f>
        <v>0</v>
      </c>
      <c r="AA28" s="4" t="n">
        <f aca="false">ROUND((X28+Y28/2+Z28/4)*10/15,0)</f>
        <v>8</v>
      </c>
    </row>
    <row r="29" customFormat="false" ht="15" hidden="false" customHeight="false" outlineLevel="0" collapsed="false">
      <c r="C29" s="1" t="s">
        <v>6</v>
      </c>
      <c r="E29" s="1" t="n">
        <f aca="false">COUNTIF(E3:E28,"P")</f>
        <v>21</v>
      </c>
      <c r="G29" s="1" t="n">
        <f aca="false">COUNTIF(G3:G28,"P")</f>
        <v>23</v>
      </c>
      <c r="H29" s="1" t="n">
        <f aca="false">COUNTIF(H3:H28,"P")</f>
        <v>24</v>
      </c>
      <c r="I29" s="1" t="n">
        <f aca="false">COUNTIF(I3:I28,"P")</f>
        <v>22</v>
      </c>
      <c r="J29" s="1" t="n">
        <f aca="false">COUNTIF(J3:J28,"P")</f>
        <v>25</v>
      </c>
      <c r="K29" s="1" t="n">
        <f aca="false">COUNTIF(K3:K28,"P")</f>
        <v>23</v>
      </c>
      <c r="L29" s="1" t="n">
        <f aca="false">COUNTIF(L3:L28,"P")</f>
        <v>24</v>
      </c>
      <c r="M29" s="1" t="n">
        <f aca="false">COUNTIF(M3:M28,"P")</f>
        <v>25</v>
      </c>
      <c r="N29" s="1" t="n">
        <f aca="false">COUNTIF(N3:N28,"P")</f>
        <v>23</v>
      </c>
      <c r="O29" s="1" t="n">
        <f aca="false">COUNTIF(O3:O28,"P")</f>
        <v>21</v>
      </c>
      <c r="P29" s="1" t="n">
        <f aca="false">COUNTIF(P3:P28,"P")</f>
        <v>24</v>
      </c>
      <c r="R29" s="1" t="n">
        <f aca="false">COUNTIF(R3:R28,"P")</f>
        <v>11</v>
      </c>
      <c r="T29" s="1" t="n">
        <f aca="false">COUNTIF(T3:T28,"P")</f>
        <v>24</v>
      </c>
      <c r="U29" s="1" t="n">
        <f aca="false">COUNTIF(U3:U28,"P")</f>
        <v>19</v>
      </c>
      <c r="V29" s="1" t="n">
        <f aca="false">COUNTIF(V3:V28,"P")</f>
        <v>21</v>
      </c>
    </row>
    <row r="30" customFormat="false" ht="15" hidden="false" customHeight="false" outlineLevel="0" collapsed="false">
      <c r="C30" s="1" t="s">
        <v>97</v>
      </c>
      <c r="T30" s="2" t="n">
        <f aca="false">COUNTIF(T3:T28,"M")</f>
        <v>1</v>
      </c>
      <c r="U30" s="2" t="n">
        <f aca="false">COUNTIF(U3:U28,"M")</f>
        <v>0</v>
      </c>
      <c r="V30" s="2" t="n">
        <f aca="false">COUNTIF(V3:V28,"M")</f>
        <v>0</v>
      </c>
    </row>
    <row r="31" customFormat="false" ht="15" hidden="false" customHeight="false" outlineLevel="0" collapsed="false">
      <c r="C31" s="1" t="s">
        <v>98</v>
      </c>
      <c r="T31" s="2" t="n">
        <f aca="false">COUNTIF(T3:T28,"T")</f>
        <v>0</v>
      </c>
      <c r="U31" s="2" t="n">
        <f aca="false">COUNTIF(U3:U28,"T")</f>
        <v>0</v>
      </c>
      <c r="V31" s="2" t="n">
        <f aca="false">COUNTIF(V3:V28,"T")</f>
        <v>1</v>
      </c>
    </row>
    <row r="32" customFormat="false" ht="15" hidden="false" customHeight="false" outlineLevel="0" collapsed="false">
      <c r="C32" s="1" t="s">
        <v>99</v>
      </c>
      <c r="T32" s="2" t="n">
        <f aca="false">SUM(T29:T31)</f>
        <v>25</v>
      </c>
      <c r="U32" s="2" t="n">
        <f aca="false">SUM(U29:U31)</f>
        <v>19</v>
      </c>
      <c r="V32" s="2" t="n">
        <f aca="false">SUM(V29:V31)</f>
        <v>22</v>
      </c>
    </row>
  </sheetData>
  <conditionalFormatting sqref="AA3:AA28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P1" activeCellId="0" sqref="P:P"/>
    </sheetView>
  </sheetViews>
  <sheetFormatPr defaultColWidth="9.5390625" defaultRowHeight="15" zeroHeight="false" outlineLevelRow="0" outlineLevelCol="0"/>
  <cols>
    <col collapsed="false" customWidth="true" hidden="false" outlineLevel="0" max="1" min="1" style="1" width="3.97"/>
    <col collapsed="false" customWidth="true" hidden="false" outlineLevel="0" max="2" min="2" style="1" width="18.69"/>
    <col collapsed="false" customWidth="true" hidden="true" outlineLevel="0" max="4" min="3" style="1" width="9.4"/>
    <col collapsed="false" customWidth="true" hidden="true" outlineLevel="0" max="5" min="5" style="1" width="23.67"/>
    <col collapsed="false" customWidth="true" hidden="true" outlineLevel="0" max="12" min="6" style="1" width="9.4"/>
    <col collapsed="false" customWidth="false" hidden="true" outlineLevel="0" max="14" min="14" style="1" width="9.54"/>
    <col collapsed="false" customWidth="true" hidden="false" outlineLevel="0" max="16" min="16" style="1" width="15.35"/>
    <col collapsed="false" customWidth="true" hidden="false" outlineLevel="0" max="17" min="17" style="1" width="9.44"/>
    <col collapsed="false" customWidth="false" hidden="false" outlineLevel="0" max="22" min="18" style="1" width="9.54"/>
  </cols>
  <sheetData>
    <row r="1" customFormat="false" ht="15" hidden="false" customHeight="false" outlineLevel="0" collapsed="false">
      <c r="A1" s="6"/>
      <c r="B1" s="2"/>
      <c r="M1" s="1" t="s">
        <v>100</v>
      </c>
      <c r="N1" s="3"/>
      <c r="O1" s="3"/>
      <c r="P1" s="3"/>
      <c r="Q1" s="2"/>
      <c r="V1" s="1" t="s">
        <v>101</v>
      </c>
      <c r="AG1" s="1"/>
    </row>
    <row r="2" customFormat="false" ht="15" hidden="false" customHeight="false" outlineLevel="0" collapsed="false">
      <c r="A2" s="6" t="s">
        <v>0</v>
      </c>
      <c r="B2" s="2" t="s">
        <v>2</v>
      </c>
      <c r="C2" s="1" t="s">
        <v>102</v>
      </c>
      <c r="D2" s="1" t="s">
        <v>103</v>
      </c>
      <c r="E2" s="1" t="s">
        <v>4</v>
      </c>
      <c r="F2" s="1" t="s">
        <v>104</v>
      </c>
      <c r="G2" s="1" t="s">
        <v>105</v>
      </c>
      <c r="H2" s="1" t="s">
        <v>106</v>
      </c>
      <c r="I2" s="1" t="s">
        <v>107</v>
      </c>
      <c r="J2" s="1" t="s">
        <v>108</v>
      </c>
      <c r="K2" s="1" t="s">
        <v>109</v>
      </c>
      <c r="L2" s="1" t="s">
        <v>110</v>
      </c>
      <c r="M2" s="1" t="s">
        <v>105</v>
      </c>
      <c r="N2" s="3" t="n">
        <v>45874</v>
      </c>
      <c r="O2" s="3" t="s">
        <v>111</v>
      </c>
      <c r="P2" s="3" t="s">
        <v>112</v>
      </c>
      <c r="Q2" s="2" t="s">
        <v>113</v>
      </c>
      <c r="R2" s="1" t="s">
        <v>114</v>
      </c>
      <c r="S2" s="1" t="s">
        <v>115</v>
      </c>
      <c r="T2" s="1" t="s">
        <v>109</v>
      </c>
      <c r="U2" s="1" t="s">
        <v>116</v>
      </c>
      <c r="V2" s="1" t="s">
        <v>9</v>
      </c>
      <c r="W2" s="2" t="s">
        <v>117</v>
      </c>
      <c r="AG2" s="1" t="s">
        <v>118</v>
      </c>
    </row>
    <row r="3" customFormat="false" ht="15.65" hidden="false" customHeight="false" outlineLevel="0" collapsed="false">
      <c r="A3" s="1" t="n">
        <v>11</v>
      </c>
      <c r="B3" s="2" t="s">
        <v>11</v>
      </c>
      <c r="C3" s="1" t="n">
        <v>7</v>
      </c>
      <c r="D3" s="1" t="n">
        <v>7</v>
      </c>
      <c r="E3" s="1" t="n">
        <v>7</v>
      </c>
      <c r="F3" s="1" t="n">
        <v>9</v>
      </c>
      <c r="G3" s="4" t="n">
        <f aca="false">ROUND(AVERAGE(C3:F3),0)</f>
        <v>8</v>
      </c>
      <c r="H3" s="7" t="str">
        <f aca="false">IF(G3&lt;7,"TEP","TEA")</f>
        <v>TEA</v>
      </c>
      <c r="I3" s="1" t="n">
        <v>10</v>
      </c>
      <c r="J3" s="1" t="n">
        <v>8</v>
      </c>
      <c r="K3" s="1" t="n">
        <v>1</v>
      </c>
      <c r="L3" s="1" t="n">
        <f aca="false">J3+K3/2</f>
        <v>8.5</v>
      </c>
      <c r="M3" s="4" t="n">
        <f aca="false">ROUND(AVERAGE(L3,I3,G3),0)</f>
        <v>9</v>
      </c>
      <c r="O3" s="2" t="s">
        <v>119</v>
      </c>
      <c r="P3" s="1" t="n">
        <v>10</v>
      </c>
      <c r="Q3" s="1" t="n">
        <v>9</v>
      </c>
      <c r="R3" s="1" t="n">
        <v>7</v>
      </c>
      <c r="S3" s="1" t="n">
        <v>7</v>
      </c>
      <c r="U3" s="1" t="n">
        <f aca="false">S3+T3/2</f>
        <v>7</v>
      </c>
      <c r="V3" s="4" t="n">
        <f aca="false">ROUND(AVERAGE(P3,Q3,R3,U3),0)</f>
        <v>8</v>
      </c>
      <c r="W3" s="4" t="n">
        <f aca="false">ROUND(AVERAGE(M3,V3),0)</f>
        <v>9</v>
      </c>
      <c r="AG3" s="1" t="n">
        <v>10</v>
      </c>
    </row>
    <row r="4" customFormat="false" ht="15.65" hidden="false" customHeight="false" outlineLevel="0" collapsed="false">
      <c r="A4" s="1" t="n">
        <v>1</v>
      </c>
      <c r="B4" s="2" t="s">
        <v>17</v>
      </c>
      <c r="C4" s="1" t="n">
        <v>6</v>
      </c>
      <c r="D4" s="1" t="n">
        <v>6</v>
      </c>
      <c r="E4" s="1" t="n">
        <v>6</v>
      </c>
      <c r="F4" s="1" t="n">
        <v>9</v>
      </c>
      <c r="G4" s="4" t="n">
        <f aca="false">ROUND(AVERAGE(C4:F4),0)</f>
        <v>7</v>
      </c>
      <c r="H4" s="7" t="str">
        <f aca="false">IF(G4&lt;7,"TEP","TEA")</f>
        <v>TEA</v>
      </c>
      <c r="I4" s="1" t="n">
        <v>7</v>
      </c>
      <c r="J4" s="1" t="n">
        <v>7</v>
      </c>
      <c r="K4" s="1" t="n">
        <v>0</v>
      </c>
      <c r="L4" s="1" t="n">
        <f aca="false">J4+K4/2</f>
        <v>7</v>
      </c>
      <c r="M4" s="4" t="n">
        <f aca="false">ROUND(AVERAGE(L4,I4,G4),0)</f>
        <v>7</v>
      </c>
      <c r="O4" s="2" t="s">
        <v>120</v>
      </c>
      <c r="P4" s="1" t="n">
        <v>7</v>
      </c>
      <c r="Q4" s="1" t="n">
        <v>8</v>
      </c>
      <c r="R4" s="1" t="n">
        <v>7</v>
      </c>
      <c r="S4" s="1" t="n">
        <v>8</v>
      </c>
      <c r="U4" s="1" t="n">
        <f aca="false">S4+T4/2</f>
        <v>8</v>
      </c>
      <c r="V4" s="4" t="n">
        <f aca="false">ROUND(AVERAGE(P4,Q4,R4,U4),0)</f>
        <v>8</v>
      </c>
      <c r="W4" s="4" t="n">
        <f aca="false">ROUND(AVERAGE(M4,V4),0)</f>
        <v>8</v>
      </c>
      <c r="AG4" s="1" t="n">
        <v>10</v>
      </c>
    </row>
    <row r="5" customFormat="false" ht="15.65" hidden="false" customHeight="false" outlineLevel="0" collapsed="false">
      <c r="A5" s="1" t="n">
        <v>12</v>
      </c>
      <c r="B5" s="2" t="s">
        <v>21</v>
      </c>
      <c r="C5" s="1" t="n">
        <v>3</v>
      </c>
      <c r="D5" s="1" t="n">
        <v>7</v>
      </c>
      <c r="E5" s="1" t="n">
        <v>9</v>
      </c>
      <c r="F5" s="1" t="n">
        <v>9</v>
      </c>
      <c r="G5" s="4" t="n">
        <f aca="false">ROUND(AVERAGE(C5:F5),0)</f>
        <v>7</v>
      </c>
      <c r="H5" s="7" t="str">
        <f aca="false">IF(G5&lt;7,"TEP","TEA")</f>
        <v>TEA</v>
      </c>
      <c r="I5" s="1" t="n">
        <v>10</v>
      </c>
      <c r="J5" s="1" t="n">
        <v>8</v>
      </c>
      <c r="K5" s="1" t="n">
        <v>3</v>
      </c>
      <c r="L5" s="1" t="n">
        <f aca="false">J5+K5/2</f>
        <v>9.5</v>
      </c>
      <c r="M5" s="4" t="n">
        <f aca="false">ROUND(AVERAGE(L5,I5,G5),0)</f>
        <v>9</v>
      </c>
      <c r="O5" s="2" t="s">
        <v>121</v>
      </c>
      <c r="P5" s="1" t="n">
        <v>8</v>
      </c>
      <c r="Q5" s="1" t="n">
        <v>8</v>
      </c>
      <c r="R5" s="1" t="n">
        <v>7</v>
      </c>
      <c r="S5" s="1" t="n">
        <v>9</v>
      </c>
      <c r="U5" s="1" t="n">
        <f aca="false">S5+T5/2</f>
        <v>9</v>
      </c>
      <c r="V5" s="4" t="n">
        <f aca="false">ROUND(AVERAGE(P5,Q5,R5,U5),0)</f>
        <v>8</v>
      </c>
      <c r="W5" s="4" t="n">
        <f aca="false">ROUND(AVERAGE(M5,V5),0)</f>
        <v>9</v>
      </c>
      <c r="AG5" s="1" t="n">
        <v>9</v>
      </c>
    </row>
    <row r="6" customFormat="false" ht="15.65" hidden="false" customHeight="false" outlineLevel="0" collapsed="false">
      <c r="A6" s="1" t="n">
        <v>5</v>
      </c>
      <c r="B6" s="2" t="s">
        <v>24</v>
      </c>
      <c r="C6" s="1" t="n">
        <v>6</v>
      </c>
      <c r="D6" s="1" t="n">
        <v>6</v>
      </c>
      <c r="E6" s="1" t="n">
        <v>6</v>
      </c>
      <c r="F6" s="1" t="n">
        <v>9</v>
      </c>
      <c r="G6" s="4" t="n">
        <f aca="false">ROUND(AVERAGE(C6:F6),0)</f>
        <v>7</v>
      </c>
      <c r="H6" s="7" t="str">
        <f aca="false">IF(G6&lt;7,"TEP","TEA")</f>
        <v>TEA</v>
      </c>
      <c r="I6" s="8" t="n">
        <v>10</v>
      </c>
      <c r="J6" s="1" t="n">
        <v>3</v>
      </c>
      <c r="K6" s="1" t="n">
        <v>0</v>
      </c>
      <c r="L6" s="1" t="n">
        <f aca="false">J6+K6/2</f>
        <v>3</v>
      </c>
      <c r="M6" s="4" t="n">
        <f aca="false">ROUND(AVERAGE(L6,I6,G6),0)</f>
        <v>7</v>
      </c>
      <c r="N6" s="1" t="s">
        <v>14</v>
      </c>
      <c r="O6" s="1" t="s">
        <v>120</v>
      </c>
      <c r="P6" s="1" t="n">
        <v>8</v>
      </c>
      <c r="Q6" s="1" t="n">
        <v>8</v>
      </c>
      <c r="R6" s="1" t="n">
        <v>10</v>
      </c>
      <c r="S6" s="1" t="n">
        <v>8</v>
      </c>
      <c r="U6" s="1" t="n">
        <f aca="false">S6+T6/2</f>
        <v>8</v>
      </c>
      <c r="V6" s="4" t="n">
        <f aca="false">ROUND(AVERAGE(P6,Q6,R6,U6),0)</f>
        <v>9</v>
      </c>
      <c r="W6" s="4" t="n">
        <f aca="false">ROUND(AVERAGE(M6,V6),0)</f>
        <v>8</v>
      </c>
      <c r="AG6" s="1" t="n">
        <v>10</v>
      </c>
    </row>
    <row r="7" customFormat="false" ht="20.85" hidden="false" customHeight="true" outlineLevel="0" collapsed="false">
      <c r="A7" s="1" t="n">
        <v>2</v>
      </c>
      <c r="B7" s="2" t="s">
        <v>29</v>
      </c>
      <c r="C7" s="1" t="n">
        <v>8</v>
      </c>
      <c r="D7" s="1" t="n">
        <v>8</v>
      </c>
      <c r="E7" s="1" t="n">
        <v>9</v>
      </c>
      <c r="F7" s="1" t="n">
        <v>9</v>
      </c>
      <c r="G7" s="4" t="n">
        <f aca="false">ROUND(AVERAGE(C7:F7),0)</f>
        <v>9</v>
      </c>
      <c r="H7" s="7" t="str">
        <f aca="false">IF(G7&lt;7,"TEP","TEA")</f>
        <v>TEA</v>
      </c>
      <c r="I7" s="1" t="n">
        <v>5</v>
      </c>
      <c r="J7" s="1" t="n">
        <v>8</v>
      </c>
      <c r="K7" s="1" t="n">
        <v>0</v>
      </c>
      <c r="L7" s="1" t="n">
        <f aca="false">J7+K7/2</f>
        <v>8</v>
      </c>
      <c r="M7" s="4" t="n">
        <f aca="false">ROUND(AVERAGE(L7,I7,G7),0)</f>
        <v>7</v>
      </c>
      <c r="O7" s="2" t="s">
        <v>120</v>
      </c>
      <c r="P7" s="1" t="n">
        <v>7</v>
      </c>
      <c r="Q7" s="1" t="n">
        <v>8</v>
      </c>
      <c r="R7" s="1" t="n">
        <v>7</v>
      </c>
      <c r="S7" s="1" t="n">
        <v>9</v>
      </c>
      <c r="U7" s="1" t="n">
        <f aca="false">S7+T7/2</f>
        <v>9</v>
      </c>
      <c r="V7" s="4" t="n">
        <f aca="false">ROUND(AVERAGE(P7,Q7,R7,U7),0)</f>
        <v>8</v>
      </c>
      <c r="W7" s="4" t="n">
        <f aca="false">ROUND(AVERAGE(M7,V7),0)</f>
        <v>8</v>
      </c>
      <c r="AG7" s="1" t="n">
        <v>9</v>
      </c>
    </row>
    <row r="8" customFormat="false" ht="15.65" hidden="false" customHeight="false" outlineLevel="0" collapsed="false">
      <c r="A8" s="1" t="n">
        <v>13</v>
      </c>
      <c r="B8" s="2" t="s">
        <v>32</v>
      </c>
      <c r="C8" s="1" t="n">
        <v>1</v>
      </c>
      <c r="D8" s="1" t="n">
        <v>1</v>
      </c>
      <c r="E8" s="1" t="n">
        <v>1</v>
      </c>
      <c r="F8" s="1" t="n">
        <v>9</v>
      </c>
      <c r="G8" s="4" t="n">
        <f aca="false">ROUND(AVERAGE(C8:F8),0)</f>
        <v>3</v>
      </c>
      <c r="H8" s="7" t="str">
        <f aca="false">IF(G8&lt;7,"TEP","TEA")</f>
        <v>TEP</v>
      </c>
      <c r="I8" s="1" t="n">
        <v>1</v>
      </c>
      <c r="J8" s="1" t="n">
        <v>0</v>
      </c>
      <c r="K8" s="1" t="n">
        <v>0</v>
      </c>
      <c r="L8" s="1" t="n">
        <f aca="false">J8+K8/2</f>
        <v>0</v>
      </c>
      <c r="M8" s="4" t="n">
        <f aca="false">ROUND(AVERAGE(L8,I8,G8),0)</f>
        <v>1</v>
      </c>
      <c r="N8" s="1" t="s">
        <v>14</v>
      </c>
      <c r="O8" s="1" t="s">
        <v>121</v>
      </c>
      <c r="P8" s="1" t="n">
        <v>1</v>
      </c>
      <c r="Q8" s="9" t="n">
        <v>1</v>
      </c>
      <c r="R8" s="1" t="n">
        <v>1</v>
      </c>
      <c r="S8" s="1" t="n">
        <v>5</v>
      </c>
      <c r="U8" s="1" t="n">
        <f aca="false">S8+T8/2</f>
        <v>5</v>
      </c>
      <c r="V8" s="4" t="n">
        <f aca="false">ROUND(AVERAGE(P8,Q8,R8,U8),0)</f>
        <v>2</v>
      </c>
      <c r="W8" s="4" t="n">
        <f aca="false">ROUND(AVERAGE(M8,V8),0)</f>
        <v>2</v>
      </c>
    </row>
    <row r="9" customFormat="false" ht="15.65" hidden="false" customHeight="false" outlineLevel="0" collapsed="false">
      <c r="A9" s="1" t="n">
        <v>14</v>
      </c>
      <c r="B9" s="2" t="s">
        <v>35</v>
      </c>
      <c r="C9" s="1" t="n">
        <v>3</v>
      </c>
      <c r="D9" s="1" t="n">
        <v>10</v>
      </c>
      <c r="E9" s="1" t="n">
        <v>7</v>
      </c>
      <c r="F9" s="1" t="n">
        <v>9</v>
      </c>
      <c r="G9" s="4" t="n">
        <f aca="false">ROUND(AVERAGE(C9:F9),0)</f>
        <v>7</v>
      </c>
      <c r="H9" s="7" t="str">
        <f aca="false">IF(G9&lt;7,"TEP","TEA")</f>
        <v>TEA</v>
      </c>
      <c r="I9" s="1" t="n">
        <v>10</v>
      </c>
      <c r="J9" s="1" t="n">
        <v>7</v>
      </c>
      <c r="K9" s="1" t="n">
        <v>3</v>
      </c>
      <c r="L9" s="1" t="n">
        <f aca="false">J9+K9/2</f>
        <v>8.5</v>
      </c>
      <c r="M9" s="4" t="n">
        <f aca="false">ROUND(AVERAGE(L9,I9,G9),0)</f>
        <v>9</v>
      </c>
      <c r="O9" s="2" t="s">
        <v>121</v>
      </c>
      <c r="P9" s="1" t="n">
        <v>8</v>
      </c>
      <c r="Q9" s="1" t="n">
        <v>8</v>
      </c>
      <c r="R9" s="1" t="n">
        <v>10</v>
      </c>
      <c r="S9" s="1" t="n">
        <v>9</v>
      </c>
      <c r="U9" s="1" t="n">
        <f aca="false">S9+T9/2</f>
        <v>9</v>
      </c>
      <c r="V9" s="4" t="n">
        <f aca="false">ROUND(AVERAGE(P9,Q9,R9,U9),0)</f>
        <v>9</v>
      </c>
      <c r="W9" s="4" t="n">
        <f aca="false">ROUND(AVERAGE(M9,V9),0)</f>
        <v>9</v>
      </c>
    </row>
    <row r="10" customFormat="false" ht="15.65" hidden="false" customHeight="false" outlineLevel="0" collapsed="false">
      <c r="A10" s="1" t="n">
        <v>15</v>
      </c>
      <c r="B10" s="2" t="s">
        <v>38</v>
      </c>
      <c r="C10" s="1" t="n">
        <v>7</v>
      </c>
      <c r="F10" s="1" t="n">
        <v>9</v>
      </c>
      <c r="G10" s="4" t="n">
        <f aca="false">ROUND(AVERAGE(C10:F10),0)</f>
        <v>8</v>
      </c>
      <c r="H10" s="7" t="str">
        <f aca="false">IF(G10&lt;7,"TEP","TEA")</f>
        <v>TEA</v>
      </c>
      <c r="I10" s="1" t="n">
        <v>9</v>
      </c>
      <c r="J10" s="1" t="n">
        <v>8</v>
      </c>
      <c r="K10" s="1" t="n">
        <v>0</v>
      </c>
      <c r="L10" s="1" t="n">
        <f aca="false">J10+K10/2</f>
        <v>8</v>
      </c>
      <c r="M10" s="4" t="n">
        <f aca="false">ROUND(AVERAGE(L10,I10,G10),0)</f>
        <v>8</v>
      </c>
      <c r="O10" s="2" t="s">
        <v>119</v>
      </c>
      <c r="P10" s="1" t="n">
        <v>10</v>
      </c>
      <c r="Q10" s="1" t="n">
        <v>9</v>
      </c>
      <c r="R10" s="1" t="n">
        <v>7</v>
      </c>
      <c r="S10" s="1" t="n">
        <v>9</v>
      </c>
      <c r="U10" s="1" t="n">
        <f aca="false">S10+T10/2</f>
        <v>9</v>
      </c>
      <c r="V10" s="4" t="n">
        <f aca="false">ROUND(AVERAGE(P10,Q10,R10,U10),0)</f>
        <v>9</v>
      </c>
      <c r="W10" s="4" t="n">
        <f aca="false">ROUND(AVERAGE(M10,V10),0)</f>
        <v>9</v>
      </c>
    </row>
    <row r="11" customFormat="false" ht="15.65" hidden="false" customHeight="false" outlineLevel="0" collapsed="false">
      <c r="A11" s="1" t="n">
        <v>10</v>
      </c>
      <c r="B11" s="2" t="s">
        <v>41</v>
      </c>
      <c r="C11" s="1" t="n">
        <v>3</v>
      </c>
      <c r="D11" s="1" t="n">
        <v>10</v>
      </c>
      <c r="E11" s="1" t="s">
        <v>122</v>
      </c>
      <c r="F11" s="1" t="n">
        <v>9</v>
      </c>
      <c r="G11" s="4" t="n">
        <f aca="false">ROUND(AVERAGE(C11:F11),0)</f>
        <v>7</v>
      </c>
      <c r="H11" s="7" t="str">
        <f aca="false">IF(G11&lt;7,"TEP","TEA")</f>
        <v>TEA</v>
      </c>
      <c r="I11" s="1" t="n">
        <v>10</v>
      </c>
      <c r="J11" s="1" t="n">
        <v>10</v>
      </c>
      <c r="K11" s="1" t="n">
        <v>11</v>
      </c>
      <c r="L11" s="1" t="n">
        <f aca="false">J11+K11/2</f>
        <v>15.5</v>
      </c>
      <c r="M11" s="4" t="n">
        <f aca="false">ROUND(AVERAGE(L11,I11,G11),0)</f>
        <v>11</v>
      </c>
      <c r="O11" s="2" t="s">
        <v>123</v>
      </c>
      <c r="P11" s="1" t="n">
        <v>10</v>
      </c>
      <c r="Q11" s="1" t="n">
        <v>8</v>
      </c>
      <c r="R11" s="1" t="n">
        <v>10</v>
      </c>
      <c r="S11" s="1" t="n">
        <v>9</v>
      </c>
      <c r="U11" s="1" t="n">
        <f aca="false">S11+T11/2</f>
        <v>9</v>
      </c>
      <c r="V11" s="4" t="n">
        <f aca="false">ROUND(AVERAGE(P11,Q11,R11,U11),0)</f>
        <v>9</v>
      </c>
      <c r="W11" s="4" t="n">
        <f aca="false">ROUND(AVERAGE(M11,V11),0)</f>
        <v>10</v>
      </c>
      <c r="AG11" s="1" t="n">
        <v>9</v>
      </c>
    </row>
    <row r="12" customFormat="false" ht="15.65" hidden="false" customHeight="false" outlineLevel="0" collapsed="false">
      <c r="A12" s="1" t="n">
        <v>16</v>
      </c>
      <c r="B12" s="2" t="s">
        <v>44</v>
      </c>
      <c r="C12" s="1" t="n">
        <v>8</v>
      </c>
      <c r="D12" s="1" t="n">
        <v>10</v>
      </c>
      <c r="E12" s="1" t="n">
        <v>3</v>
      </c>
      <c r="F12" s="1" t="n">
        <v>1</v>
      </c>
      <c r="G12" s="4" t="n">
        <f aca="false">ROUND(AVERAGE(C12:F12),0)</f>
        <v>6</v>
      </c>
      <c r="H12" s="7" t="str">
        <f aca="false">IF(G12&lt;7,"TEP","TEA")</f>
        <v>TEP</v>
      </c>
      <c r="I12" s="1" t="n">
        <v>9</v>
      </c>
      <c r="J12" s="1" t="n">
        <v>7</v>
      </c>
      <c r="K12" s="1" t="n">
        <v>0</v>
      </c>
      <c r="L12" s="1" t="n">
        <f aca="false">J12+K12/2</f>
        <v>7</v>
      </c>
      <c r="M12" s="4" t="n">
        <f aca="false">ROUND(AVERAGE(L12,I12,G12),0)</f>
        <v>7</v>
      </c>
      <c r="O12" s="2" t="s">
        <v>124</v>
      </c>
      <c r="P12" s="1" t="n">
        <v>10</v>
      </c>
      <c r="Q12" s="1" t="n">
        <v>9</v>
      </c>
      <c r="R12" s="1" t="n">
        <v>8</v>
      </c>
      <c r="S12" s="1" t="n">
        <v>9</v>
      </c>
      <c r="U12" s="1" t="n">
        <f aca="false">S12+T12/2</f>
        <v>9</v>
      </c>
      <c r="V12" s="4" t="n">
        <f aca="false">ROUND(AVERAGE(P12,Q12,R12,U12),0)</f>
        <v>9</v>
      </c>
      <c r="W12" s="4" t="n">
        <f aca="false">ROUND(AVERAGE(M12,V12),0)</f>
        <v>8</v>
      </c>
      <c r="AG12" s="1" t="n">
        <v>1</v>
      </c>
    </row>
    <row r="13" customFormat="false" ht="15.65" hidden="false" customHeight="false" outlineLevel="0" collapsed="false">
      <c r="A13" s="1" t="n">
        <v>17</v>
      </c>
      <c r="B13" s="2" t="s">
        <v>47</v>
      </c>
      <c r="C13" s="1" t="n">
        <v>3</v>
      </c>
      <c r="D13" s="1" t="n">
        <v>8</v>
      </c>
      <c r="E13" s="1" t="n">
        <v>9</v>
      </c>
      <c r="F13" s="1" t="n">
        <v>9</v>
      </c>
      <c r="G13" s="4" t="n">
        <f aca="false">ROUND(AVERAGE(C13:F13),0)</f>
        <v>7</v>
      </c>
      <c r="H13" s="7" t="str">
        <f aca="false">IF(G13&lt;7,"TEP","TEA")</f>
        <v>TEA</v>
      </c>
      <c r="I13" s="1" t="n">
        <v>6</v>
      </c>
      <c r="J13" s="1" t="n">
        <v>7</v>
      </c>
      <c r="K13" s="1" t="n">
        <v>3</v>
      </c>
      <c r="L13" s="1" t="n">
        <f aca="false">J13+K13/2</f>
        <v>8.5</v>
      </c>
      <c r="M13" s="4" t="n">
        <f aca="false">ROUND(AVERAGE(L13,I13,G13),0)</f>
        <v>7</v>
      </c>
      <c r="O13" s="2" t="s">
        <v>124</v>
      </c>
      <c r="P13" s="1" t="n">
        <v>8</v>
      </c>
      <c r="Q13" s="1" t="n">
        <v>9</v>
      </c>
      <c r="R13" s="1" t="n">
        <v>10</v>
      </c>
      <c r="S13" s="1" t="n">
        <v>8</v>
      </c>
      <c r="U13" s="1" t="n">
        <f aca="false">S13+T13/2</f>
        <v>8</v>
      </c>
      <c r="V13" s="4" t="n">
        <f aca="false">ROUND(AVERAGE(P13,Q13,R13,U13),0)</f>
        <v>9</v>
      </c>
      <c r="W13" s="4" t="n">
        <f aca="false">ROUND(AVERAGE(M13,V13),0)</f>
        <v>8</v>
      </c>
      <c r="AG13" s="1" t="n">
        <v>3</v>
      </c>
    </row>
    <row r="14" customFormat="false" ht="15.65" hidden="false" customHeight="false" outlineLevel="0" collapsed="false">
      <c r="A14" s="1" t="n">
        <v>4</v>
      </c>
      <c r="B14" s="2" t="s">
        <v>51</v>
      </c>
      <c r="C14" s="1" t="n">
        <v>7</v>
      </c>
      <c r="D14" s="1" t="n">
        <v>9</v>
      </c>
      <c r="E14" s="1" t="n">
        <v>9</v>
      </c>
      <c r="F14" s="1" t="n">
        <v>10</v>
      </c>
      <c r="G14" s="4" t="n">
        <f aca="false">ROUND(AVERAGE(C14:F14),0)</f>
        <v>9</v>
      </c>
      <c r="H14" s="7" t="str">
        <f aca="false">IF(G14&lt;7,"TEP","TEA")</f>
        <v>TEA</v>
      </c>
      <c r="I14" s="1" t="n">
        <v>10</v>
      </c>
      <c r="J14" s="1" t="n">
        <v>7</v>
      </c>
      <c r="K14" s="10" t="n">
        <v>8</v>
      </c>
      <c r="L14" s="1" t="n">
        <f aca="false">J14+K14/2</f>
        <v>11</v>
      </c>
      <c r="M14" s="4" t="n">
        <f aca="false">ROUND(AVERAGE(L14,I14,G14),0)</f>
        <v>10</v>
      </c>
      <c r="O14" s="2" t="s">
        <v>123</v>
      </c>
      <c r="P14" s="11" t="n">
        <v>10</v>
      </c>
      <c r="Q14" s="1" t="n">
        <v>8</v>
      </c>
      <c r="R14" s="1" t="n">
        <v>10</v>
      </c>
      <c r="S14" s="1" t="n">
        <v>7</v>
      </c>
      <c r="U14" s="1" t="n">
        <f aca="false">S14+T14/2</f>
        <v>7</v>
      </c>
      <c r="V14" s="4" t="n">
        <f aca="false">ROUND(AVERAGE(P14,Q14,R14,U14),0)</f>
        <v>9</v>
      </c>
      <c r="W14" s="4" t="n">
        <f aca="false">ROUND(AVERAGE(M14,V14),0)</f>
        <v>10</v>
      </c>
    </row>
    <row r="15" customFormat="false" ht="15.65" hidden="false" customHeight="false" outlineLevel="0" collapsed="false">
      <c r="A15" s="1" t="n">
        <v>18</v>
      </c>
      <c r="B15" s="2" t="s">
        <v>54</v>
      </c>
      <c r="C15" s="1" t="n">
        <v>9</v>
      </c>
      <c r="D15" s="1" t="n">
        <v>10</v>
      </c>
      <c r="E15" s="1" t="s">
        <v>125</v>
      </c>
      <c r="F15" s="1" t="n">
        <v>10</v>
      </c>
      <c r="G15" s="4" t="n">
        <f aca="false">ROUND(AVERAGE(C15:F15),0)</f>
        <v>10</v>
      </c>
      <c r="H15" s="7" t="str">
        <f aca="false">IF(G15&lt;7,"TEP","TEA")</f>
        <v>TEA</v>
      </c>
      <c r="I15" s="1" t="n">
        <v>9</v>
      </c>
      <c r="J15" s="1" t="n">
        <v>10</v>
      </c>
      <c r="K15" s="1" t="n">
        <v>3</v>
      </c>
      <c r="L15" s="1" t="n">
        <f aca="false">J15+K15/2</f>
        <v>11.5</v>
      </c>
      <c r="M15" s="4" t="n">
        <f aca="false">ROUND(AVERAGE(L15,I15,G15),0)</f>
        <v>10</v>
      </c>
      <c r="O15" s="2" t="s">
        <v>124</v>
      </c>
      <c r="P15" s="1" t="n">
        <v>10</v>
      </c>
      <c r="Q15" s="1" t="n">
        <v>9</v>
      </c>
      <c r="R15" s="1" t="n">
        <v>10</v>
      </c>
      <c r="S15" s="1" t="n">
        <v>9</v>
      </c>
      <c r="U15" s="1" t="n">
        <f aca="false">S15+T15/2</f>
        <v>9</v>
      </c>
      <c r="V15" s="4" t="n">
        <f aca="false">ROUND(AVERAGE(P15,Q15,R15,U15),0)</f>
        <v>10</v>
      </c>
      <c r="W15" s="4" t="n">
        <f aca="false">ROUND(AVERAGE(M15,V15),0)</f>
        <v>10</v>
      </c>
    </row>
    <row r="16" customFormat="false" ht="15.65" hidden="false" customHeight="false" outlineLevel="0" collapsed="false">
      <c r="A16" s="1" t="n">
        <v>6</v>
      </c>
      <c r="B16" s="2" t="s">
        <v>57</v>
      </c>
      <c r="C16" s="1" t="n">
        <v>3</v>
      </c>
      <c r="D16" s="1" t="n">
        <v>10</v>
      </c>
      <c r="E16" s="1" t="n">
        <v>10</v>
      </c>
      <c r="F16" s="1" t="n">
        <v>9</v>
      </c>
      <c r="G16" s="4" t="n">
        <f aca="false">ROUND(AVERAGE(C16:F16),0)</f>
        <v>8</v>
      </c>
      <c r="H16" s="7" t="str">
        <f aca="false">IF(G16&lt;7,"TEP","TEA")</f>
        <v>TEA</v>
      </c>
      <c r="I16" s="1" t="n">
        <v>8</v>
      </c>
      <c r="J16" s="1" t="n">
        <v>8</v>
      </c>
      <c r="K16" s="1" t="n">
        <v>13</v>
      </c>
      <c r="L16" s="1" t="n">
        <f aca="false">J16+K16/2</f>
        <v>14.5</v>
      </c>
      <c r="M16" s="4" t="n">
        <f aca="false">ROUND(AVERAGE(L16,I16,G16),0)</f>
        <v>10</v>
      </c>
      <c r="O16" s="2" t="s">
        <v>120</v>
      </c>
      <c r="P16" s="1" t="n">
        <v>9</v>
      </c>
      <c r="Q16" s="1" t="n">
        <v>8</v>
      </c>
      <c r="R16" s="1" t="n">
        <v>10</v>
      </c>
      <c r="S16" s="1" t="n">
        <v>9</v>
      </c>
      <c r="U16" s="1" t="n">
        <f aca="false">S16+T16/2</f>
        <v>9</v>
      </c>
      <c r="V16" s="4" t="n">
        <f aca="false">ROUND(AVERAGE(P16,Q16,R16,U16),0)</f>
        <v>9</v>
      </c>
      <c r="W16" s="4" t="n">
        <f aca="false">ROUND(AVERAGE(M16,V16),0)</f>
        <v>10</v>
      </c>
    </row>
    <row r="17" customFormat="false" ht="15.65" hidden="false" customHeight="false" outlineLevel="0" collapsed="false">
      <c r="A17" s="1" t="n">
        <v>19</v>
      </c>
      <c r="B17" s="2" t="s">
        <v>60</v>
      </c>
      <c r="C17" s="1" t="n">
        <v>3</v>
      </c>
      <c r="D17" s="1" t="n">
        <v>10</v>
      </c>
      <c r="F17" s="1" t="n">
        <v>9</v>
      </c>
      <c r="G17" s="4" t="n">
        <f aca="false">ROUND(AVERAGE(C17:F17),0)</f>
        <v>7</v>
      </c>
      <c r="H17" s="7" t="str">
        <f aca="false">IF(G17&lt;7,"TEP","TEA")</f>
        <v>TEA</v>
      </c>
      <c r="I17" s="1" t="n">
        <v>9</v>
      </c>
      <c r="J17" s="1" t="n">
        <v>5</v>
      </c>
      <c r="K17" s="1" t="n">
        <v>0</v>
      </c>
      <c r="L17" s="1" t="n">
        <f aca="false">J17+K17/2</f>
        <v>5</v>
      </c>
      <c r="M17" s="4" t="n">
        <f aca="false">ROUND(AVERAGE(L17,I17,G17),0)</f>
        <v>7</v>
      </c>
      <c r="O17" s="2" t="s">
        <v>119</v>
      </c>
      <c r="P17" s="1" t="n">
        <v>10</v>
      </c>
      <c r="Q17" s="1" t="n">
        <v>9</v>
      </c>
      <c r="R17" s="1" t="n">
        <v>7</v>
      </c>
      <c r="S17" s="1" t="n">
        <v>7</v>
      </c>
      <c r="U17" s="1" t="n">
        <f aca="false">S17+T17/2</f>
        <v>7</v>
      </c>
      <c r="V17" s="4" t="n">
        <f aca="false">ROUND(AVERAGE(P17,Q17,R17,U17),0)</f>
        <v>8</v>
      </c>
      <c r="W17" s="4" t="n">
        <f aca="false">ROUND(AVERAGE(M17,V17),0)</f>
        <v>8</v>
      </c>
    </row>
    <row r="18" customFormat="false" ht="15.65" hidden="false" customHeight="false" outlineLevel="0" collapsed="false">
      <c r="A18" s="1" t="n">
        <v>20</v>
      </c>
      <c r="B18" s="2" t="s">
        <v>63</v>
      </c>
      <c r="C18" s="1" t="n">
        <v>7</v>
      </c>
      <c r="D18" s="1" t="n">
        <v>10</v>
      </c>
      <c r="E18" s="1" t="n">
        <v>10</v>
      </c>
      <c r="F18" s="1" t="n">
        <v>10</v>
      </c>
      <c r="G18" s="4" t="n">
        <f aca="false">ROUND(AVERAGE(C18:F18),0)</f>
        <v>9</v>
      </c>
      <c r="H18" s="7" t="str">
        <f aca="false">IF(G18&lt;7,"TEP","TEA")</f>
        <v>TEA</v>
      </c>
      <c r="I18" s="1" t="n">
        <v>9</v>
      </c>
      <c r="J18" s="1" t="n">
        <v>8</v>
      </c>
      <c r="K18" s="1" t="n">
        <v>0</v>
      </c>
      <c r="L18" s="1" t="n">
        <f aca="false">J18+K18/2</f>
        <v>8</v>
      </c>
      <c r="M18" s="4" t="n">
        <f aca="false">ROUND(AVERAGE(L18,I18,G18),0)</f>
        <v>9</v>
      </c>
      <c r="O18" s="2" t="s">
        <v>121</v>
      </c>
      <c r="P18" s="1" t="n">
        <v>7</v>
      </c>
      <c r="Q18" s="1" t="n">
        <v>8</v>
      </c>
      <c r="R18" s="1" t="n">
        <v>7</v>
      </c>
      <c r="S18" s="1" t="n">
        <v>9</v>
      </c>
      <c r="U18" s="1" t="n">
        <f aca="false">S18+T18/2</f>
        <v>9</v>
      </c>
      <c r="V18" s="4" t="n">
        <f aca="false">ROUND(AVERAGE(P18,Q18,R18,U18),0)</f>
        <v>8</v>
      </c>
      <c r="W18" s="4" t="n">
        <f aca="false">ROUND(AVERAGE(M18,V18),0)</f>
        <v>9</v>
      </c>
    </row>
    <row r="19" customFormat="false" ht="15.65" hidden="false" customHeight="false" outlineLevel="0" collapsed="false">
      <c r="A19" s="1" t="n">
        <v>21</v>
      </c>
      <c r="B19" s="2" t="s">
        <v>66</v>
      </c>
      <c r="C19" s="1" t="n">
        <v>9</v>
      </c>
      <c r="D19" s="1" t="n">
        <v>10</v>
      </c>
      <c r="E19" s="1" t="n">
        <v>7</v>
      </c>
      <c r="F19" s="1" t="n">
        <v>9</v>
      </c>
      <c r="G19" s="4" t="n">
        <f aca="false">ROUND(AVERAGE(C19:F19),0)</f>
        <v>9</v>
      </c>
      <c r="H19" s="7" t="str">
        <f aca="false">IF(G19&lt;7,"TEP","TEA")</f>
        <v>TEA</v>
      </c>
      <c r="I19" s="1" t="n">
        <v>9</v>
      </c>
      <c r="J19" s="1" t="n">
        <v>5</v>
      </c>
      <c r="K19" s="1" t="n">
        <v>3</v>
      </c>
      <c r="L19" s="1" t="n">
        <f aca="false">J19+K19/2</f>
        <v>6.5</v>
      </c>
      <c r="M19" s="4" t="n">
        <f aca="false">ROUND(AVERAGE(L19,I19,G19),0)</f>
        <v>8</v>
      </c>
      <c r="O19" s="2" t="s">
        <v>121</v>
      </c>
      <c r="P19" s="1" t="n">
        <v>10</v>
      </c>
      <c r="Q19" s="1" t="n">
        <v>8</v>
      </c>
      <c r="R19" s="1" t="n">
        <v>10</v>
      </c>
      <c r="S19" s="1" t="n">
        <v>8</v>
      </c>
      <c r="U19" s="1" t="n">
        <f aca="false">S19+T19/2</f>
        <v>8</v>
      </c>
      <c r="V19" s="4" t="n">
        <f aca="false">ROUND(AVERAGE(P19,Q19,R19,U19),0)</f>
        <v>9</v>
      </c>
      <c r="W19" s="4" t="n">
        <f aca="false">ROUND(AVERAGE(M19,V19),0)</f>
        <v>9</v>
      </c>
    </row>
    <row r="20" customFormat="false" ht="15.65" hidden="false" customHeight="false" outlineLevel="0" collapsed="false">
      <c r="A20" s="1" t="n">
        <v>7</v>
      </c>
      <c r="B20" s="2" t="s">
        <v>69</v>
      </c>
      <c r="C20" s="1" t="n">
        <v>3</v>
      </c>
      <c r="D20" s="1" t="n">
        <v>7</v>
      </c>
      <c r="E20" s="1" t="n">
        <v>8</v>
      </c>
      <c r="F20" s="1" t="n">
        <v>7</v>
      </c>
      <c r="G20" s="4" t="n">
        <f aca="false">ROUND(AVERAGE(C20:F20),0)</f>
        <v>6</v>
      </c>
      <c r="H20" s="7" t="str">
        <f aca="false">IF(G20&lt;7,"TEP","TEA")</f>
        <v>TEP</v>
      </c>
      <c r="I20" s="1" t="n">
        <v>7</v>
      </c>
      <c r="J20" s="1" t="n">
        <v>6</v>
      </c>
      <c r="K20" s="1" t="n">
        <v>5</v>
      </c>
      <c r="L20" s="1" t="n">
        <f aca="false">J20+K20/2</f>
        <v>8.5</v>
      </c>
      <c r="M20" s="4" t="n">
        <f aca="false">ROUND(AVERAGE(L20,I20,G20),0)</f>
        <v>7</v>
      </c>
      <c r="O20" s="2" t="s">
        <v>123</v>
      </c>
      <c r="P20" s="11" t="n">
        <v>10</v>
      </c>
      <c r="Q20" s="1" t="n">
        <v>8</v>
      </c>
      <c r="R20" s="1" t="n">
        <v>10</v>
      </c>
      <c r="S20" s="1" t="n">
        <v>10</v>
      </c>
      <c r="U20" s="1" t="n">
        <f aca="false">S20+T20/2</f>
        <v>10</v>
      </c>
      <c r="V20" s="4" t="n">
        <f aca="false">ROUND(AVERAGE(P20,Q20,R20,U20),0)</f>
        <v>10</v>
      </c>
      <c r="W20" s="4" t="n">
        <f aca="false">ROUND(AVERAGE(M20,V20),0)</f>
        <v>9</v>
      </c>
    </row>
    <row r="21" customFormat="false" ht="15.65" hidden="false" customHeight="false" outlineLevel="0" collapsed="false">
      <c r="A21" s="1" t="n">
        <v>22</v>
      </c>
      <c r="B21" s="2" t="s">
        <v>72</v>
      </c>
      <c r="C21" s="1" t="n">
        <v>3</v>
      </c>
      <c r="D21" s="1" t="n">
        <v>10</v>
      </c>
      <c r="E21" s="1" t="s">
        <v>125</v>
      </c>
      <c r="F21" s="1" t="n">
        <v>10</v>
      </c>
      <c r="G21" s="4" t="n">
        <f aca="false">ROUND(AVERAGE(C21:F21),0)</f>
        <v>8</v>
      </c>
      <c r="H21" s="7" t="str">
        <f aca="false">IF(G21&lt;7,"TEP","TEA")</f>
        <v>TEA</v>
      </c>
      <c r="I21" s="1" t="n">
        <v>9</v>
      </c>
      <c r="J21" s="1" t="n">
        <v>10</v>
      </c>
      <c r="K21" s="1" t="n">
        <v>3</v>
      </c>
      <c r="L21" s="1" t="n">
        <f aca="false">J21+K21/2</f>
        <v>11.5</v>
      </c>
      <c r="M21" s="4" t="n">
        <f aca="false">ROUND(AVERAGE(L21,I21,G21),0)</f>
        <v>10</v>
      </c>
      <c r="O21" s="2" t="s">
        <v>119</v>
      </c>
      <c r="P21" s="1" t="n">
        <v>10</v>
      </c>
      <c r="Q21" s="1" t="n">
        <v>9</v>
      </c>
      <c r="R21" s="11" t="n">
        <v>10</v>
      </c>
      <c r="S21" s="1" t="n">
        <v>10</v>
      </c>
      <c r="U21" s="1" t="n">
        <f aca="false">S21+T21/2</f>
        <v>10</v>
      </c>
      <c r="V21" s="4" t="n">
        <f aca="false">ROUND(AVERAGE(P21,Q21,R21,U21),0)</f>
        <v>10</v>
      </c>
      <c r="W21" s="4" t="n">
        <f aca="false">ROUND(AVERAGE(M21,V21),0)</f>
        <v>10</v>
      </c>
    </row>
    <row r="22" customFormat="false" ht="15.65" hidden="false" customHeight="false" outlineLevel="0" collapsed="false">
      <c r="A22" s="1" t="n">
        <v>3</v>
      </c>
      <c r="B22" s="2" t="s">
        <v>75</v>
      </c>
      <c r="C22" s="1" t="n">
        <v>3</v>
      </c>
      <c r="D22" s="1" t="n">
        <v>10</v>
      </c>
      <c r="E22" s="1" t="n">
        <v>9</v>
      </c>
      <c r="F22" s="1" t="n">
        <v>1</v>
      </c>
      <c r="G22" s="4" t="n">
        <f aca="false">ROUND(AVERAGE(C22:F22),0)</f>
        <v>6</v>
      </c>
      <c r="H22" s="7" t="str">
        <f aca="false">IF(G22&lt;7,"TEP","TEA")</f>
        <v>TEP</v>
      </c>
      <c r="I22" s="1" t="n">
        <v>9</v>
      </c>
      <c r="J22" s="1" t="n">
        <v>6</v>
      </c>
      <c r="K22" s="1" t="n">
        <v>0</v>
      </c>
      <c r="L22" s="1" t="n">
        <f aca="false">J22+K22/2</f>
        <v>6</v>
      </c>
      <c r="M22" s="4" t="n">
        <f aca="false">ROUND(AVERAGE(L22,I22,G22),0)</f>
        <v>7</v>
      </c>
      <c r="O22" s="2" t="s">
        <v>120</v>
      </c>
      <c r="P22" s="1" t="n">
        <v>7</v>
      </c>
      <c r="Q22" s="1" t="n">
        <v>8</v>
      </c>
      <c r="R22" s="1" t="n">
        <v>7</v>
      </c>
      <c r="S22" s="1" t="n">
        <v>7</v>
      </c>
      <c r="U22" s="1" t="n">
        <f aca="false">S22+T22/2</f>
        <v>7</v>
      </c>
      <c r="V22" s="4" t="n">
        <f aca="false">ROUND(AVERAGE(P22,Q22,R22,U22),0)</f>
        <v>7</v>
      </c>
      <c r="W22" s="4" t="n">
        <f aca="false">ROUND(AVERAGE(M22,V22),0)</f>
        <v>7</v>
      </c>
    </row>
    <row r="23" customFormat="false" ht="15.65" hidden="false" customHeight="false" outlineLevel="0" collapsed="false">
      <c r="A23" s="1" t="n">
        <v>23</v>
      </c>
      <c r="B23" s="2" t="s">
        <v>79</v>
      </c>
      <c r="C23" s="1" t="n">
        <v>9</v>
      </c>
      <c r="D23" s="1" t="n">
        <v>4</v>
      </c>
      <c r="E23" s="1" t="n">
        <v>8</v>
      </c>
      <c r="F23" s="1" t="n">
        <v>9</v>
      </c>
      <c r="G23" s="4" t="n">
        <f aca="false">ROUND(AVERAGE(C23:F23),0)</f>
        <v>8</v>
      </c>
      <c r="H23" s="7" t="str">
        <f aca="false">IF(G23&lt;7,"TEP","TEA")</f>
        <v>TEA</v>
      </c>
      <c r="I23" s="1" t="n">
        <v>10</v>
      </c>
      <c r="J23" s="1" t="n">
        <v>8</v>
      </c>
      <c r="K23" s="1" t="n">
        <v>2</v>
      </c>
      <c r="L23" s="1" t="n">
        <f aca="false">J23+K23/2</f>
        <v>9</v>
      </c>
      <c r="M23" s="4" t="n">
        <f aca="false">ROUND(AVERAGE(L23,I23,G23),0)</f>
        <v>9</v>
      </c>
      <c r="O23" s="2" t="s">
        <v>119</v>
      </c>
      <c r="P23" s="1" t="n">
        <v>10</v>
      </c>
      <c r="Q23" s="1" t="n">
        <v>9</v>
      </c>
      <c r="R23" s="1" t="n">
        <v>10</v>
      </c>
      <c r="S23" s="1" t="n">
        <v>10</v>
      </c>
      <c r="U23" s="1" t="n">
        <f aca="false">S23+T23/2</f>
        <v>10</v>
      </c>
      <c r="V23" s="4" t="n">
        <f aca="false">ROUND(AVERAGE(P23,Q23,R23,U23),0)</f>
        <v>10</v>
      </c>
      <c r="W23" s="4" t="n">
        <f aca="false">ROUND(AVERAGE(M23,V23),0)</f>
        <v>10</v>
      </c>
    </row>
    <row r="24" customFormat="false" ht="15.65" hidden="false" customHeight="false" outlineLevel="0" collapsed="false">
      <c r="A24" s="1" t="n">
        <v>8</v>
      </c>
      <c r="B24" s="2" t="s">
        <v>82</v>
      </c>
      <c r="C24" s="1" t="n">
        <v>2</v>
      </c>
      <c r="F24" s="1" t="n">
        <v>9</v>
      </c>
      <c r="G24" s="4" t="n">
        <f aca="false">ROUND(AVERAGE(C24:F24),0)</f>
        <v>6</v>
      </c>
      <c r="H24" s="7" t="str">
        <f aca="false">IF(G24&lt;7,"TEP","TEA")</f>
        <v>TEP</v>
      </c>
      <c r="I24" s="1" t="n">
        <v>9</v>
      </c>
      <c r="J24" s="1" t="n">
        <v>8</v>
      </c>
      <c r="K24" s="1" t="n">
        <v>5</v>
      </c>
      <c r="L24" s="1" t="n">
        <f aca="false">J24+K24/2</f>
        <v>10.5</v>
      </c>
      <c r="M24" s="4" t="n">
        <f aca="false">ROUND(AVERAGE(L24,I24,G24),0)</f>
        <v>9</v>
      </c>
      <c r="O24" s="2" t="s">
        <v>123</v>
      </c>
      <c r="P24" s="11" t="n">
        <v>10</v>
      </c>
      <c r="Q24" s="1" t="n">
        <v>8</v>
      </c>
      <c r="R24" s="1" t="n">
        <v>10</v>
      </c>
      <c r="S24" s="1" t="n">
        <v>9</v>
      </c>
      <c r="U24" s="1" t="n">
        <f aca="false">S24+T24/2</f>
        <v>9</v>
      </c>
      <c r="V24" s="4" t="n">
        <f aca="false">ROUND(AVERAGE(P24,Q24,R24,U24),0)</f>
        <v>9</v>
      </c>
      <c r="W24" s="4" t="n">
        <f aca="false">ROUND(AVERAGE(M24,V24),0)</f>
        <v>9</v>
      </c>
    </row>
    <row r="25" customFormat="false" ht="15.65" hidden="false" customHeight="false" outlineLevel="0" collapsed="false">
      <c r="A25" s="1" t="n">
        <v>24</v>
      </c>
      <c r="B25" s="2" t="s">
        <v>85</v>
      </c>
      <c r="C25" s="1" t="n">
        <v>3</v>
      </c>
      <c r="D25" s="1" t="n">
        <v>10</v>
      </c>
      <c r="E25" s="1" t="s">
        <v>125</v>
      </c>
      <c r="F25" s="1" t="n">
        <v>10</v>
      </c>
      <c r="G25" s="4" t="n">
        <f aca="false">ROUND(AVERAGE(C25:F25),0)</f>
        <v>8</v>
      </c>
      <c r="H25" s="7" t="str">
        <f aca="false">IF(G25&lt;7,"TEP","TEA")</f>
        <v>TEA</v>
      </c>
      <c r="I25" s="1" t="n">
        <v>10</v>
      </c>
      <c r="J25" s="1" t="n">
        <v>10</v>
      </c>
      <c r="K25" s="1" t="n">
        <v>21</v>
      </c>
      <c r="L25" s="1" t="n">
        <f aca="false">J25+K25/2</f>
        <v>20.5</v>
      </c>
      <c r="M25" s="4" t="n">
        <f aca="false">ROUND(AVERAGE(L25,I25,G25),0)</f>
        <v>13</v>
      </c>
      <c r="O25" s="2" t="s">
        <v>124</v>
      </c>
      <c r="P25" s="1" t="n">
        <v>10</v>
      </c>
      <c r="Q25" s="1" t="n">
        <v>9</v>
      </c>
      <c r="R25" s="1" t="n">
        <v>10</v>
      </c>
      <c r="S25" s="1" t="n">
        <v>9</v>
      </c>
      <c r="U25" s="1" t="n">
        <f aca="false">S25+T25/2</f>
        <v>9</v>
      </c>
      <c r="V25" s="4" t="n">
        <f aca="false">ROUND(AVERAGE(P25,Q25,R25,U25),0)</f>
        <v>10</v>
      </c>
      <c r="W25" s="4" t="n">
        <f aca="false">ROUND(AVERAGE(M25,V25),0)</f>
        <v>12</v>
      </c>
    </row>
    <row r="26" customFormat="false" ht="15.65" hidden="false" customHeight="false" outlineLevel="0" collapsed="false">
      <c r="A26" s="1" t="n">
        <v>25</v>
      </c>
      <c r="B26" s="2" t="s">
        <v>89</v>
      </c>
      <c r="C26" s="1" t="n">
        <v>3</v>
      </c>
      <c r="D26" s="1" t="n">
        <v>8</v>
      </c>
      <c r="E26" s="1" t="s">
        <v>122</v>
      </c>
      <c r="F26" s="1" t="n">
        <v>10</v>
      </c>
      <c r="G26" s="4" t="n">
        <f aca="false">ROUND(AVERAGE(C26:F26),0)</f>
        <v>7</v>
      </c>
      <c r="H26" s="7" t="str">
        <f aca="false">IF(G26&lt;7,"TEP","TEA")</f>
        <v>TEA</v>
      </c>
      <c r="I26" s="1" t="n">
        <v>10</v>
      </c>
      <c r="J26" s="1" t="n">
        <v>8</v>
      </c>
      <c r="K26" s="1" t="n">
        <v>23</v>
      </c>
      <c r="L26" s="1" t="n">
        <f aca="false">J26+K26/2</f>
        <v>19.5</v>
      </c>
      <c r="M26" s="4" t="n">
        <f aca="false">ROUND(AVERAGE(L26,I26,G26),0)</f>
        <v>12</v>
      </c>
      <c r="O26" s="2" t="s">
        <v>124</v>
      </c>
      <c r="P26" s="1" t="n">
        <v>10</v>
      </c>
      <c r="Q26" s="1" t="n">
        <v>9</v>
      </c>
      <c r="R26" s="1" t="n">
        <v>10</v>
      </c>
      <c r="S26" s="1" t="n">
        <v>9</v>
      </c>
      <c r="U26" s="1" t="n">
        <f aca="false">S26+T26/2</f>
        <v>9</v>
      </c>
      <c r="V26" s="4" t="n">
        <f aca="false">ROUND(AVERAGE(P26,Q26,R26,U26),0)</f>
        <v>10</v>
      </c>
      <c r="W26" s="4" t="n">
        <f aca="false">ROUND(AVERAGE(M26,V26),0)</f>
        <v>11</v>
      </c>
    </row>
    <row r="27" customFormat="false" ht="15.65" hidden="false" customHeight="false" outlineLevel="0" collapsed="false">
      <c r="A27" s="1" t="n">
        <v>9</v>
      </c>
      <c r="B27" s="2" t="s">
        <v>92</v>
      </c>
      <c r="C27" s="1" t="n">
        <v>3</v>
      </c>
      <c r="D27" s="1" t="n">
        <v>10</v>
      </c>
      <c r="E27" s="1" t="n">
        <v>10</v>
      </c>
      <c r="F27" s="1" t="n">
        <v>20</v>
      </c>
      <c r="G27" s="4" t="n">
        <f aca="false">ROUND(AVERAGE(C27:F27),0)</f>
        <v>11</v>
      </c>
      <c r="H27" s="7" t="str">
        <f aca="false">IF(G27&lt;7,"TEP","TEA")</f>
        <v>TEA</v>
      </c>
      <c r="I27" s="1" t="n">
        <v>7</v>
      </c>
      <c r="J27" s="1" t="n">
        <v>10</v>
      </c>
      <c r="K27" s="1" t="n">
        <v>11</v>
      </c>
      <c r="L27" s="1" t="n">
        <f aca="false">J27+K27/2</f>
        <v>15.5</v>
      </c>
      <c r="M27" s="4" t="n">
        <f aca="false">ROUND(AVERAGE(L27,I27,G27),0)</f>
        <v>11</v>
      </c>
      <c r="O27" s="2" t="s">
        <v>123</v>
      </c>
      <c r="P27" s="11" t="n">
        <v>10</v>
      </c>
      <c r="Q27" s="1" t="n">
        <v>8</v>
      </c>
      <c r="R27" s="1" t="n">
        <v>10</v>
      </c>
      <c r="S27" s="1" t="n">
        <v>9</v>
      </c>
      <c r="U27" s="1" t="n">
        <f aca="false">S27+T27/2</f>
        <v>9</v>
      </c>
      <c r="V27" s="4" t="n">
        <f aca="false">ROUND(AVERAGE(P27,Q27,R27,U27),0)</f>
        <v>9</v>
      </c>
      <c r="W27" s="4" t="n">
        <f aca="false">ROUND(AVERAGE(M27,V27),0)</f>
        <v>10</v>
      </c>
    </row>
    <row r="28" customFormat="false" ht="15.65" hidden="false" customHeight="false" outlineLevel="0" collapsed="false">
      <c r="A28" s="1" t="n">
        <v>26</v>
      </c>
      <c r="B28" s="2" t="s">
        <v>95</v>
      </c>
      <c r="C28" s="1" t="n">
        <v>3</v>
      </c>
      <c r="D28" s="1" t="n">
        <v>8</v>
      </c>
      <c r="E28" s="1" t="s">
        <v>122</v>
      </c>
      <c r="F28" s="1" t="n">
        <v>8</v>
      </c>
      <c r="G28" s="4" t="n">
        <f aca="false">ROUND(AVERAGE(C28:F28),0)</f>
        <v>6</v>
      </c>
      <c r="H28" s="7" t="str">
        <f aca="false">IF(G28&lt;7,"TEP","TEA")</f>
        <v>TEP</v>
      </c>
      <c r="I28" s="1" t="n">
        <v>9</v>
      </c>
      <c r="J28" s="1" t="n">
        <v>5</v>
      </c>
      <c r="K28" s="1" t="n">
        <v>0</v>
      </c>
      <c r="L28" s="1" t="n">
        <f aca="false">J28+K28/2</f>
        <v>5</v>
      </c>
      <c r="M28" s="4" t="n">
        <f aca="false">ROUND(AVERAGE(L28,I28,G28),0)</f>
        <v>7</v>
      </c>
      <c r="O28" s="2" t="s">
        <v>121</v>
      </c>
      <c r="P28" s="1" t="n">
        <v>10</v>
      </c>
      <c r="Q28" s="1" t="n">
        <v>8</v>
      </c>
      <c r="R28" s="1" t="n">
        <v>8</v>
      </c>
      <c r="S28" s="1" t="n">
        <v>8</v>
      </c>
      <c r="U28" s="1" t="n">
        <f aca="false">S28+T28/2</f>
        <v>8</v>
      </c>
      <c r="V28" s="4" t="n">
        <f aca="false">ROUND(AVERAGE(P28,Q28,R28,U28),0)</f>
        <v>9</v>
      </c>
      <c r="W28" s="4" t="n">
        <f aca="false">ROUND(AVERAGE(M28,V28),0)</f>
        <v>8</v>
      </c>
    </row>
  </sheetData>
  <conditionalFormatting sqref="G3:G28">
    <cfRule type="cellIs" priority="2" operator="lessThan" aboveAverage="0" equalAverage="0" bottom="0" percent="0" rank="0" text="" dxfId="3">
      <formula>7</formula>
    </cfRule>
  </conditionalFormatting>
  <conditionalFormatting sqref="H3:H28">
    <cfRule type="cellIs" priority="3" operator="equal" aboveAverage="0" equalAverage="0" bottom="0" percent="0" rank="0" text="" dxfId="3">
      <formula>"TEP"</formula>
    </cfRule>
  </conditionalFormatting>
  <conditionalFormatting sqref="J5:J27">
    <cfRule type="cellIs" priority="4" operator="equal" aboveAverage="0" equalAverage="0" bottom="0" percent="0" rank="0" text="" dxfId="4">
      <formula>"TEP"</formula>
    </cfRule>
  </conditionalFormatting>
  <conditionalFormatting sqref="M3:M28">
    <cfRule type="cellIs" priority="5" operator="lessThan" aboveAverage="0" equalAverage="0" bottom="0" percent="0" rank="0" text="" dxfId="5">
      <formula>4</formula>
    </cfRule>
    <cfRule type="cellIs" priority="6" operator="between" aboveAverage="0" equalAverage="0" bottom="0" percent="0" rank="0" text="" dxfId="6">
      <formula>4</formula>
      <formula>6</formula>
    </cfRule>
    <cfRule type="cellIs" priority="7" operator="greaterThan" aboveAverage="0" equalAverage="0" bottom="0" percent="0" rank="0" text="" dxfId="7">
      <formula>6</formula>
    </cfRule>
  </conditionalFormatting>
  <conditionalFormatting sqref="V3:V28">
    <cfRule type="cellIs" priority="8" operator="greaterThan" aboveAverage="0" equalAverage="0" bottom="0" percent="0" rank="0" text="" dxfId="0">
      <formula>6</formula>
    </cfRule>
    <cfRule type="cellIs" priority="9" operator="notBetween" aboveAverage="0" equalAverage="0" bottom="0" percent="0" rank="0" text="" dxfId="1">
      <formula>4</formula>
      <formula>6</formula>
    </cfRule>
    <cfRule type="cellIs" priority="10" operator="lessThan" aboveAverage="0" equalAverage="0" bottom="0" percent="0" rank="0" text="" dxfId="2">
      <formula>4</formula>
    </cfRule>
  </conditionalFormatting>
  <conditionalFormatting sqref="W3:W28">
    <cfRule type="cellIs" priority="11" operator="greaterThan" aboveAverage="0" equalAverage="0" bottom="0" percent="0" rank="0" text="" dxfId="0">
      <formula>6</formula>
    </cfRule>
    <cfRule type="cellIs" priority="12" operator="between" aboveAverage="0" equalAverage="0" bottom="0" percent="0" rank="0" text="" dxfId="1">
      <formula>4</formula>
      <formula>6</formula>
    </cfRule>
    <cfRule type="cellIs" priority="13" operator="lessThan" aboveAverage="0" equalAverage="0" bottom="0" percent="0" rank="0" text="" dxfId="2">
      <formula>4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13" activeCellId="1" sqref="P:P C13"/>
    </sheetView>
  </sheetViews>
  <sheetFormatPr defaultColWidth="9.5078125" defaultRowHeight="15" zeroHeight="false" outlineLevelRow="0" outlineLevelCol="0"/>
  <cols>
    <col collapsed="false" customWidth="true" hidden="false" outlineLevel="0" max="2" min="2" style="1" width="18.61"/>
    <col collapsed="false" customWidth="true" hidden="false" outlineLevel="0" max="5" min="5" style="1" width="23.67"/>
  </cols>
  <sheetData>
    <row r="1" customFormat="false" ht="15" hidden="false" customHeight="false" outlineLevel="0" collapsed="false">
      <c r="A1" s="6" t="s">
        <v>0</v>
      </c>
      <c r="B1" s="2" t="s">
        <v>2</v>
      </c>
      <c r="C1" s="1" t="s">
        <v>126</v>
      </c>
      <c r="D1" s="1" t="s">
        <v>103</v>
      </c>
      <c r="E1" s="1" t="s">
        <v>4</v>
      </c>
      <c r="F1" s="1" t="s">
        <v>127</v>
      </c>
      <c r="G1" s="1" t="s">
        <v>128</v>
      </c>
    </row>
    <row r="2" customFormat="false" ht="15" hidden="false" customHeight="false" outlineLevel="0" collapsed="false">
      <c r="A2" s="1" t="n">
        <v>1</v>
      </c>
      <c r="B2" s="2" t="s">
        <v>11</v>
      </c>
      <c r="C2" s="1" t="n">
        <v>1</v>
      </c>
      <c r="G2" s="1" t="n">
        <f aca="false">SUM(F2,D2,C2)</f>
        <v>1</v>
      </c>
    </row>
    <row r="3" customFormat="false" ht="15" hidden="false" customHeight="false" outlineLevel="0" collapsed="false">
      <c r="A3" s="1" t="n">
        <v>2</v>
      </c>
      <c r="B3" s="2" t="s">
        <v>17</v>
      </c>
      <c r="G3" s="1" t="n">
        <f aca="false">SUM(F3,D3,C3)</f>
        <v>0</v>
      </c>
    </row>
    <row r="4" customFormat="false" ht="15" hidden="false" customHeight="false" outlineLevel="0" collapsed="false">
      <c r="A4" s="1" t="n">
        <v>3</v>
      </c>
      <c r="B4" s="2" t="s">
        <v>21</v>
      </c>
      <c r="C4" s="1" t="n">
        <v>3</v>
      </c>
      <c r="G4" s="1" t="n">
        <f aca="false">SUM(F4,D4,C4)</f>
        <v>3</v>
      </c>
    </row>
    <row r="5" customFormat="false" ht="15" hidden="false" customHeight="false" outlineLevel="0" collapsed="false">
      <c r="A5" s="1" t="n">
        <v>4</v>
      </c>
      <c r="B5" s="2" t="s">
        <v>24</v>
      </c>
      <c r="G5" s="1" t="n">
        <f aca="false">SUM(F5,D5,C5)</f>
        <v>0</v>
      </c>
    </row>
    <row r="6" customFormat="false" ht="15" hidden="false" customHeight="false" outlineLevel="0" collapsed="false">
      <c r="A6" s="1" t="n">
        <v>5</v>
      </c>
      <c r="B6" s="2" t="s">
        <v>29</v>
      </c>
      <c r="G6" s="1" t="n">
        <f aca="false">SUM(F6,D6,C6)</f>
        <v>0</v>
      </c>
    </row>
    <row r="7" customFormat="false" ht="15" hidden="false" customHeight="false" outlineLevel="0" collapsed="false">
      <c r="A7" s="1" t="n">
        <v>6</v>
      </c>
      <c r="B7" s="2" t="s">
        <v>32</v>
      </c>
      <c r="G7" s="1" t="n">
        <f aca="false">SUM(F7,D7,C7)</f>
        <v>0</v>
      </c>
    </row>
    <row r="8" customFormat="false" ht="15" hidden="false" customHeight="false" outlineLevel="0" collapsed="false">
      <c r="A8" s="1" t="n">
        <v>7</v>
      </c>
      <c r="B8" s="2" t="s">
        <v>35</v>
      </c>
      <c r="C8" s="1" t="n">
        <v>3</v>
      </c>
      <c r="G8" s="1" t="n">
        <f aca="false">SUM(F8,D8,C8)</f>
        <v>3</v>
      </c>
    </row>
    <row r="9" customFormat="false" ht="15" hidden="false" customHeight="false" outlineLevel="0" collapsed="false">
      <c r="A9" s="1" t="n">
        <v>8</v>
      </c>
      <c r="B9" s="2" t="s">
        <v>38</v>
      </c>
      <c r="G9" s="1" t="n">
        <f aca="false">SUM(F9,D9,C9)</f>
        <v>0</v>
      </c>
    </row>
    <row r="10" customFormat="false" ht="15" hidden="false" customHeight="false" outlineLevel="0" collapsed="false">
      <c r="A10" s="1" t="n">
        <v>9</v>
      </c>
      <c r="B10" s="2" t="s">
        <v>41</v>
      </c>
      <c r="C10" s="1" t="n">
        <v>3</v>
      </c>
      <c r="D10" s="1" t="n">
        <v>8</v>
      </c>
      <c r="E10" s="1" t="s">
        <v>122</v>
      </c>
      <c r="G10" s="1" t="n">
        <f aca="false">SUM(F10,D10,C10)</f>
        <v>11</v>
      </c>
    </row>
    <row r="11" customFormat="false" ht="15" hidden="false" customHeight="false" outlineLevel="0" collapsed="false">
      <c r="A11" s="1" t="n">
        <v>10</v>
      </c>
      <c r="B11" s="2" t="s">
        <v>44</v>
      </c>
      <c r="G11" s="1" t="n">
        <f aca="false">SUM(F11,D11,C11)</f>
        <v>0</v>
      </c>
    </row>
    <row r="12" customFormat="false" ht="15" hidden="false" customHeight="false" outlineLevel="0" collapsed="false">
      <c r="A12" s="1" t="n">
        <v>26</v>
      </c>
      <c r="B12" s="2" t="s">
        <v>47</v>
      </c>
      <c r="C12" s="1" t="n">
        <v>3</v>
      </c>
      <c r="G12" s="1" t="n">
        <f aca="false">SUM(F12,D12,C12)</f>
        <v>3</v>
      </c>
    </row>
    <row r="13" customFormat="false" ht="15" hidden="false" customHeight="false" outlineLevel="0" collapsed="false">
      <c r="A13" s="1" t="n">
        <v>11</v>
      </c>
      <c r="B13" s="2" t="s">
        <v>51</v>
      </c>
      <c r="D13" s="1" t="n">
        <v>8</v>
      </c>
      <c r="E13" s="1" t="s">
        <v>125</v>
      </c>
      <c r="G13" s="1" t="n">
        <f aca="false">SUM(F13,D13,C13)</f>
        <v>8</v>
      </c>
    </row>
    <row r="14" customFormat="false" ht="15" hidden="false" customHeight="false" outlineLevel="0" collapsed="false">
      <c r="A14" s="1" t="n">
        <v>12</v>
      </c>
      <c r="B14" s="2" t="s">
        <v>54</v>
      </c>
      <c r="C14" s="1" t="n">
        <v>3</v>
      </c>
      <c r="G14" s="1" t="n">
        <f aca="false">SUM(F14,D14,C14)</f>
        <v>3</v>
      </c>
    </row>
    <row r="15" customFormat="false" ht="15" hidden="false" customHeight="false" outlineLevel="0" collapsed="false">
      <c r="A15" s="1" t="n">
        <v>13</v>
      </c>
      <c r="B15" s="2" t="s">
        <v>57</v>
      </c>
      <c r="C15" s="1" t="n">
        <v>3</v>
      </c>
      <c r="D15" s="1" t="n">
        <v>10</v>
      </c>
      <c r="G15" s="1" t="n">
        <f aca="false">SUM(F15,D15,C15)</f>
        <v>13</v>
      </c>
    </row>
    <row r="16" customFormat="false" ht="15" hidden="false" customHeight="false" outlineLevel="0" collapsed="false">
      <c r="A16" s="1" t="n">
        <v>14</v>
      </c>
      <c r="B16" s="2" t="s">
        <v>60</v>
      </c>
      <c r="G16" s="1" t="n">
        <f aca="false">SUM(F16,D16,C16)</f>
        <v>0</v>
      </c>
    </row>
    <row r="17" customFormat="false" ht="15" hidden="false" customHeight="false" outlineLevel="0" collapsed="false">
      <c r="A17" s="1" t="n">
        <v>15</v>
      </c>
      <c r="B17" s="2" t="s">
        <v>63</v>
      </c>
      <c r="G17" s="1" t="n">
        <f aca="false">SUM(F17,D17,C17)</f>
        <v>0</v>
      </c>
    </row>
    <row r="18" customFormat="false" ht="15" hidden="false" customHeight="false" outlineLevel="0" collapsed="false">
      <c r="A18" s="1" t="n">
        <v>16</v>
      </c>
      <c r="B18" s="2" t="s">
        <v>66</v>
      </c>
      <c r="C18" s="1" t="n">
        <v>3</v>
      </c>
      <c r="G18" s="1" t="n">
        <f aca="false">SUM(F18,D18,C18)</f>
        <v>3</v>
      </c>
    </row>
    <row r="19" customFormat="false" ht="15" hidden="false" customHeight="false" outlineLevel="0" collapsed="false">
      <c r="A19" s="1" t="n">
        <v>17</v>
      </c>
      <c r="B19" s="2" t="s">
        <v>69</v>
      </c>
      <c r="C19" s="1" t="n">
        <v>3</v>
      </c>
      <c r="D19" s="1" t="n">
        <v>2</v>
      </c>
      <c r="E19" s="1" t="s">
        <v>125</v>
      </c>
      <c r="G19" s="1" t="n">
        <f aca="false">SUM(F19,D19,C19)</f>
        <v>5</v>
      </c>
    </row>
    <row r="20" customFormat="false" ht="15" hidden="false" customHeight="false" outlineLevel="0" collapsed="false">
      <c r="A20" s="1" t="n">
        <v>18</v>
      </c>
      <c r="B20" s="2" t="s">
        <v>72</v>
      </c>
      <c r="C20" s="1" t="n">
        <v>3</v>
      </c>
      <c r="G20" s="1" t="n">
        <f aca="false">SUM(F20,D20,C20)</f>
        <v>3</v>
      </c>
    </row>
    <row r="21" customFormat="false" ht="15" hidden="false" customHeight="false" outlineLevel="0" collapsed="false">
      <c r="A21" s="1" t="n">
        <v>19</v>
      </c>
      <c r="B21" s="2" t="s">
        <v>75</v>
      </c>
      <c r="G21" s="1" t="n">
        <f aca="false">SUM(F21,D21,C21)</f>
        <v>0</v>
      </c>
    </row>
    <row r="22" customFormat="false" ht="15" hidden="false" customHeight="false" outlineLevel="0" collapsed="false">
      <c r="A22" s="1" t="n">
        <v>20</v>
      </c>
      <c r="B22" s="2" t="s">
        <v>79</v>
      </c>
      <c r="C22" s="1" t="n">
        <v>2</v>
      </c>
      <c r="G22" s="1" t="n">
        <f aca="false">SUM(F22,D22,C22)</f>
        <v>2</v>
      </c>
    </row>
    <row r="23" customFormat="false" ht="15" hidden="false" customHeight="false" outlineLevel="0" collapsed="false">
      <c r="A23" s="1" t="n">
        <v>21</v>
      </c>
      <c r="B23" s="2" t="s">
        <v>82</v>
      </c>
      <c r="C23" s="1" t="n">
        <v>3</v>
      </c>
      <c r="D23" s="1" t="n">
        <v>2</v>
      </c>
      <c r="E23" s="1" t="s">
        <v>125</v>
      </c>
      <c r="G23" s="1" t="n">
        <f aca="false">SUM(F23,D23,C23)</f>
        <v>5</v>
      </c>
    </row>
    <row r="24" customFormat="false" ht="15" hidden="false" customHeight="false" outlineLevel="0" collapsed="false">
      <c r="A24" s="1" t="n">
        <v>22</v>
      </c>
      <c r="B24" s="2" t="s">
        <v>85</v>
      </c>
      <c r="C24" s="1" t="n">
        <v>3</v>
      </c>
      <c r="D24" s="1" t="n">
        <v>8</v>
      </c>
      <c r="E24" s="1" t="s">
        <v>122</v>
      </c>
      <c r="F24" s="1" t="n">
        <v>10</v>
      </c>
      <c r="G24" s="1" t="n">
        <f aca="false">SUM(F24,D24,C24)</f>
        <v>21</v>
      </c>
    </row>
    <row r="25" customFormat="false" ht="15" hidden="false" customHeight="false" outlineLevel="0" collapsed="false">
      <c r="A25" s="1" t="n">
        <v>23</v>
      </c>
      <c r="B25" s="2" t="s">
        <v>89</v>
      </c>
      <c r="C25" s="1" t="n">
        <v>3</v>
      </c>
      <c r="D25" s="1" t="n">
        <v>10</v>
      </c>
      <c r="F25" s="1" t="n">
        <v>10</v>
      </c>
      <c r="G25" s="1" t="n">
        <f aca="false">SUM(F25,D25,C25)</f>
        <v>23</v>
      </c>
    </row>
    <row r="26" customFormat="false" ht="15" hidden="false" customHeight="false" outlineLevel="0" collapsed="false">
      <c r="A26" s="1" t="n">
        <v>24</v>
      </c>
      <c r="B26" s="2" t="s">
        <v>92</v>
      </c>
      <c r="C26" s="1" t="n">
        <v>3</v>
      </c>
      <c r="D26" s="1" t="n">
        <v>8</v>
      </c>
      <c r="E26" s="1" t="s">
        <v>122</v>
      </c>
      <c r="G26" s="1" t="n">
        <f aca="false">SUM(F26,D26,C26)</f>
        <v>11</v>
      </c>
    </row>
    <row r="27" customFormat="false" ht="15" hidden="false" customHeight="false" outlineLevel="0" collapsed="false">
      <c r="A27" s="1" t="n">
        <v>25</v>
      </c>
      <c r="B27" s="2" t="s">
        <v>95</v>
      </c>
      <c r="G27" s="1" t="n">
        <f aca="false">SUM(F27,D27,C27)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8" colorId="64" zoomScale="75" zoomScaleNormal="75" zoomScalePageLayoutView="100" workbookViewId="0">
      <selection pane="topLeft" activeCell="F2" activeCellId="1" sqref="P:P F2"/>
    </sheetView>
  </sheetViews>
  <sheetFormatPr defaultColWidth="9.5078125" defaultRowHeight="12.8" zeroHeight="false" outlineLevelRow="0" outlineLevelCol="0"/>
  <cols>
    <col collapsed="false" customWidth="true" hidden="false" outlineLevel="0" max="3" min="2" style="1" width="18.61"/>
    <col collapsed="false" customWidth="true" hidden="false" outlineLevel="0" max="4" min="4" style="1" width="21.98"/>
  </cols>
  <sheetData>
    <row r="1" customFormat="false" ht="15" hidden="false" customHeight="false" outlineLevel="0" collapsed="false">
      <c r="C1" s="1" t="s">
        <v>2</v>
      </c>
      <c r="D1" s="1" t="s">
        <v>1</v>
      </c>
      <c r="E1" s="1" t="s">
        <v>129</v>
      </c>
      <c r="F1" s="1" t="s">
        <v>130</v>
      </c>
    </row>
    <row r="2" customFormat="false" ht="15" hidden="false" customHeight="false" outlineLevel="0" collapsed="false">
      <c r="A2" s="1" t="n">
        <v>1</v>
      </c>
      <c r="B2" s="2" t="s">
        <v>11</v>
      </c>
      <c r="C2" s="1" t="s">
        <v>11</v>
      </c>
      <c r="D2" s="1" t="s">
        <v>10</v>
      </c>
      <c r="E2" s="1" t="s">
        <v>131</v>
      </c>
      <c r="F2" s="1" t="n">
        <v>10</v>
      </c>
    </row>
    <row r="3" customFormat="false" ht="15" hidden="false" customHeight="false" outlineLevel="0" collapsed="false">
      <c r="A3" s="1" t="n">
        <v>2</v>
      </c>
      <c r="B3" s="2" t="s">
        <v>17</v>
      </c>
      <c r="C3" s="1" t="s">
        <v>17</v>
      </c>
      <c r="D3" s="1" t="s">
        <v>16</v>
      </c>
      <c r="E3" s="1" t="s">
        <v>132</v>
      </c>
      <c r="F3" s="1" t="n">
        <v>7</v>
      </c>
    </row>
    <row r="4" customFormat="false" ht="15" hidden="false" customHeight="false" outlineLevel="0" collapsed="false">
      <c r="A4" s="1" t="n">
        <v>3</v>
      </c>
      <c r="B4" s="2" t="s">
        <v>21</v>
      </c>
      <c r="C4" s="1" t="s">
        <v>21</v>
      </c>
      <c r="D4" s="1" t="s">
        <v>20</v>
      </c>
      <c r="E4" s="1" t="s">
        <v>133</v>
      </c>
      <c r="F4" s="1" t="n">
        <v>10</v>
      </c>
    </row>
    <row r="5" customFormat="false" ht="15" hidden="false" customHeight="false" outlineLevel="0" collapsed="false">
      <c r="A5" s="1" t="n">
        <v>4</v>
      </c>
      <c r="B5" s="2" t="s">
        <v>24</v>
      </c>
      <c r="F5" s="1" t="n">
        <v>1</v>
      </c>
    </row>
    <row r="6" customFormat="false" ht="15" hidden="false" customHeight="false" outlineLevel="0" collapsed="false">
      <c r="A6" s="1" t="n">
        <v>5</v>
      </c>
      <c r="B6" s="2" t="s">
        <v>29</v>
      </c>
      <c r="C6" s="1" t="s">
        <v>29</v>
      </c>
      <c r="D6" s="1" t="s">
        <v>28</v>
      </c>
      <c r="E6" s="1" t="s">
        <v>134</v>
      </c>
      <c r="F6" s="1" t="n">
        <v>5</v>
      </c>
    </row>
    <row r="7" customFormat="false" ht="15" hidden="false" customHeight="false" outlineLevel="0" collapsed="false">
      <c r="A7" s="1" t="n">
        <v>6</v>
      </c>
      <c r="B7" s="2" t="s">
        <v>32</v>
      </c>
      <c r="F7" s="1" t="n">
        <v>1</v>
      </c>
    </row>
    <row r="8" customFormat="false" ht="15" hidden="false" customHeight="false" outlineLevel="0" collapsed="false">
      <c r="A8" s="1" t="n">
        <v>7</v>
      </c>
      <c r="B8" s="2" t="s">
        <v>35</v>
      </c>
      <c r="C8" s="1" t="s">
        <v>35</v>
      </c>
      <c r="D8" s="1" t="s">
        <v>34</v>
      </c>
      <c r="E8" s="1" t="s">
        <v>135</v>
      </c>
      <c r="F8" s="1" t="n">
        <v>10</v>
      </c>
    </row>
    <row r="9" customFormat="false" ht="15" hidden="false" customHeight="false" outlineLevel="0" collapsed="false">
      <c r="A9" s="1" t="n">
        <v>8</v>
      </c>
      <c r="B9" s="2" t="s">
        <v>38</v>
      </c>
      <c r="C9" s="1" t="s">
        <v>38</v>
      </c>
      <c r="D9" s="1" t="s">
        <v>37</v>
      </c>
      <c r="E9" s="1" t="s">
        <v>136</v>
      </c>
      <c r="F9" s="1" t="n">
        <v>9</v>
      </c>
    </row>
    <row r="10" customFormat="false" ht="15" hidden="false" customHeight="false" outlineLevel="0" collapsed="false">
      <c r="A10" s="1" t="n">
        <v>9</v>
      </c>
      <c r="B10" s="2" t="s">
        <v>41</v>
      </c>
      <c r="C10" s="1" t="s">
        <v>41</v>
      </c>
      <c r="D10" s="1" t="s">
        <v>40</v>
      </c>
      <c r="E10" s="1" t="s">
        <v>137</v>
      </c>
      <c r="F10" s="1" t="n">
        <v>10</v>
      </c>
    </row>
    <row r="11" customFormat="false" ht="15" hidden="false" customHeight="false" outlineLevel="0" collapsed="false">
      <c r="A11" s="1" t="n">
        <v>10</v>
      </c>
      <c r="B11" s="2" t="s">
        <v>44</v>
      </c>
      <c r="C11" s="1" t="s">
        <v>44</v>
      </c>
      <c r="D11" s="1" t="s">
        <v>43</v>
      </c>
      <c r="E11" s="1" t="s">
        <v>138</v>
      </c>
      <c r="F11" s="1" t="n">
        <v>9</v>
      </c>
    </row>
    <row r="12" customFormat="false" ht="15" hidden="false" customHeight="false" outlineLevel="0" collapsed="false">
      <c r="A12" s="1" t="n">
        <v>26</v>
      </c>
      <c r="B12" s="2" t="s">
        <v>47</v>
      </c>
      <c r="C12" s="1" t="s">
        <v>47</v>
      </c>
      <c r="D12" s="1" t="s">
        <v>46</v>
      </c>
      <c r="E12" s="1" t="s">
        <v>134</v>
      </c>
      <c r="F12" s="1" t="n">
        <v>6</v>
      </c>
    </row>
    <row r="13" customFormat="false" ht="15" hidden="false" customHeight="false" outlineLevel="0" collapsed="false">
      <c r="A13" s="1" t="n">
        <v>11</v>
      </c>
      <c r="B13" s="2" t="s">
        <v>51</v>
      </c>
      <c r="C13" s="1" t="s">
        <v>51</v>
      </c>
      <c r="D13" s="1" t="s">
        <v>50</v>
      </c>
      <c r="E13" s="1" t="s">
        <v>139</v>
      </c>
      <c r="F13" s="1" t="n">
        <v>10</v>
      </c>
    </row>
    <row r="14" customFormat="false" ht="15" hidden="false" customHeight="false" outlineLevel="0" collapsed="false">
      <c r="A14" s="1" t="n">
        <v>12</v>
      </c>
      <c r="B14" s="2" t="s">
        <v>54</v>
      </c>
      <c r="C14" s="1" t="s">
        <v>54</v>
      </c>
      <c r="D14" s="1" t="s">
        <v>53</v>
      </c>
      <c r="E14" s="1" t="s">
        <v>134</v>
      </c>
      <c r="F14" s="1" t="n">
        <v>9</v>
      </c>
    </row>
    <row r="15" customFormat="false" ht="15" hidden="false" customHeight="false" outlineLevel="0" collapsed="false">
      <c r="A15" s="1" t="n">
        <v>13</v>
      </c>
      <c r="B15" s="2" t="s">
        <v>57</v>
      </c>
      <c r="C15" s="1" t="s">
        <v>57</v>
      </c>
      <c r="D15" s="1" t="s">
        <v>56</v>
      </c>
      <c r="E15" s="1" t="s">
        <v>140</v>
      </c>
      <c r="F15" s="1" t="n">
        <v>8</v>
      </c>
    </row>
    <row r="16" customFormat="false" ht="15" hidden="false" customHeight="false" outlineLevel="0" collapsed="false">
      <c r="A16" s="1" t="n">
        <v>14</v>
      </c>
      <c r="B16" s="2" t="s">
        <v>60</v>
      </c>
      <c r="C16" s="1" t="s">
        <v>60</v>
      </c>
      <c r="D16" s="1" t="s">
        <v>59</v>
      </c>
      <c r="E16" s="1" t="s">
        <v>141</v>
      </c>
      <c r="F16" s="1" t="n">
        <v>9</v>
      </c>
    </row>
    <row r="17" customFormat="false" ht="15" hidden="false" customHeight="false" outlineLevel="0" collapsed="false">
      <c r="A17" s="1" t="n">
        <v>15</v>
      </c>
      <c r="B17" s="2" t="s">
        <v>63</v>
      </c>
      <c r="C17" s="1" t="s">
        <v>63</v>
      </c>
      <c r="D17" s="1" t="s">
        <v>62</v>
      </c>
      <c r="E17" s="1" t="s">
        <v>142</v>
      </c>
      <c r="F17" s="1" t="n">
        <v>9</v>
      </c>
    </row>
    <row r="18" customFormat="false" ht="15" hidden="false" customHeight="false" outlineLevel="0" collapsed="false">
      <c r="A18" s="1" t="n">
        <v>16</v>
      </c>
      <c r="B18" s="2" t="s">
        <v>66</v>
      </c>
      <c r="C18" s="1" t="s">
        <v>66</v>
      </c>
      <c r="D18" s="1" t="s">
        <v>65</v>
      </c>
      <c r="E18" s="1" t="s">
        <v>143</v>
      </c>
      <c r="F18" s="1" t="n">
        <v>9</v>
      </c>
    </row>
    <row r="19" customFormat="false" ht="15" hidden="false" customHeight="false" outlineLevel="0" collapsed="false">
      <c r="A19" s="1" t="n">
        <v>17</v>
      </c>
      <c r="B19" s="2" t="s">
        <v>69</v>
      </c>
      <c r="C19" s="1" t="s">
        <v>69</v>
      </c>
      <c r="D19" s="1" t="s">
        <v>68</v>
      </c>
      <c r="E19" s="1" t="s">
        <v>144</v>
      </c>
      <c r="F19" s="1" t="n">
        <v>7</v>
      </c>
    </row>
    <row r="20" customFormat="false" ht="15" hidden="false" customHeight="false" outlineLevel="0" collapsed="false">
      <c r="A20" s="1" t="n">
        <v>18</v>
      </c>
      <c r="B20" s="2" t="s">
        <v>72</v>
      </c>
      <c r="C20" s="1" t="s">
        <v>72</v>
      </c>
      <c r="D20" s="1" t="s">
        <v>71</v>
      </c>
      <c r="E20" s="1" t="s">
        <v>145</v>
      </c>
      <c r="F20" s="1" t="n">
        <v>9</v>
      </c>
    </row>
    <row r="21" customFormat="false" ht="15" hidden="false" customHeight="false" outlineLevel="0" collapsed="false">
      <c r="A21" s="1" t="n">
        <v>19</v>
      </c>
      <c r="B21" s="2" t="s">
        <v>75</v>
      </c>
      <c r="C21" s="1" t="s">
        <v>75</v>
      </c>
      <c r="D21" s="1" t="s">
        <v>74</v>
      </c>
      <c r="E21" s="1" t="s">
        <v>146</v>
      </c>
      <c r="F21" s="1" t="n">
        <v>9</v>
      </c>
    </row>
    <row r="22" customFormat="false" ht="15" hidden="false" customHeight="false" outlineLevel="0" collapsed="false">
      <c r="A22" s="1" t="n">
        <v>20</v>
      </c>
      <c r="B22" s="2" t="s">
        <v>79</v>
      </c>
      <c r="C22" s="1" t="s">
        <v>79</v>
      </c>
      <c r="D22" s="1" t="s">
        <v>78</v>
      </c>
      <c r="E22" s="1" t="s">
        <v>147</v>
      </c>
      <c r="F22" s="1" t="n">
        <v>10</v>
      </c>
    </row>
    <row r="23" customFormat="false" ht="15" hidden="false" customHeight="false" outlineLevel="0" collapsed="false">
      <c r="A23" s="1" t="n">
        <v>21</v>
      </c>
      <c r="B23" s="2" t="s">
        <v>82</v>
      </c>
      <c r="C23" s="1" t="s">
        <v>82</v>
      </c>
      <c r="D23" s="1" t="s">
        <v>81</v>
      </c>
      <c r="E23" s="1" t="s">
        <v>148</v>
      </c>
      <c r="F23" s="1" t="n">
        <v>9</v>
      </c>
    </row>
    <row r="24" customFormat="false" ht="15" hidden="false" customHeight="false" outlineLevel="0" collapsed="false">
      <c r="A24" s="1" t="n">
        <v>22</v>
      </c>
      <c r="B24" s="2" t="s">
        <v>85</v>
      </c>
      <c r="C24" s="1" t="s">
        <v>85</v>
      </c>
      <c r="D24" s="1" t="s">
        <v>84</v>
      </c>
      <c r="E24" s="1" t="s">
        <v>134</v>
      </c>
      <c r="F24" s="1" t="n">
        <v>10</v>
      </c>
    </row>
    <row r="25" customFormat="false" ht="15" hidden="false" customHeight="false" outlineLevel="0" collapsed="false">
      <c r="A25" s="1" t="n">
        <v>23</v>
      </c>
      <c r="B25" s="2" t="s">
        <v>89</v>
      </c>
      <c r="C25" s="1" t="s">
        <v>89</v>
      </c>
      <c r="D25" s="1" t="s">
        <v>88</v>
      </c>
      <c r="E25" s="1" t="s">
        <v>134</v>
      </c>
      <c r="F25" s="1" t="n">
        <v>10</v>
      </c>
    </row>
    <row r="26" customFormat="false" ht="15" hidden="false" customHeight="false" outlineLevel="0" collapsed="false">
      <c r="A26" s="1" t="n">
        <v>24</v>
      </c>
      <c r="B26" s="2" t="s">
        <v>92</v>
      </c>
      <c r="C26" s="1" t="s">
        <v>92</v>
      </c>
      <c r="D26" s="1" t="s">
        <v>91</v>
      </c>
      <c r="E26" s="1" t="s">
        <v>149</v>
      </c>
      <c r="F26" s="1" t="n">
        <v>7</v>
      </c>
    </row>
    <row r="27" customFormat="false" ht="15" hidden="false" customHeight="false" outlineLevel="0" collapsed="false">
      <c r="A27" s="1" t="n">
        <v>25</v>
      </c>
      <c r="B27" s="2" t="s">
        <v>95</v>
      </c>
      <c r="C27" s="1" t="s">
        <v>95</v>
      </c>
      <c r="D27" s="1" t="s">
        <v>150</v>
      </c>
      <c r="E27" s="1" t="s">
        <v>135</v>
      </c>
      <c r="F27" s="1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5039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2025-05-05T16:27:59Z</dcterms:created>
  <dc:creator/>
  <dc:description/>
  <dc:language>es-AR</dc:language>
  <cp:lastModifiedBy/>
  <dcterms:modified xsi:type="dcterms:W3CDTF">2025-11-28T20:15:19Z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